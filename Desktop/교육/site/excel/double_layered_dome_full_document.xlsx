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표지 및 개요" sheetId="1" state="visible" r:id="rId1"/>
    <sheet name="2. 설계 시방서" sheetId="2" state="visible" r:id="rId2"/>
    <sheet name="3. 자재 명세서 (BOM)" sheetId="3" state="visible" r:id="rId3"/>
    <sheet name="4. 부품 및 시공 견적서" sheetId="4" state="visible" r:id="rId4"/>
    <sheet name="5. 시공 체크리스트" sheetId="5" state="visible" r:id="rId5"/>
    <sheet name="6. 조립 및 시공 유의사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10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i val="1"/>
      <color rgb="0064748B"/>
      <sz val="9"/>
    </font>
    <font>
      <name val="맑은 고딕"/>
      <b val="1"/>
      <color rgb="00000000"/>
      <sz val="10"/>
    </font>
    <font>
      <name val="맑은 고딕"/>
      <b val="1"/>
      <color rgb="008B0000"/>
      <sz val="11"/>
    </font>
    <font>
      <name val="맑은 고딕"/>
      <b val="1"/>
      <color rgb="00991B1B"/>
      <sz val="10"/>
    </font>
  </fonts>
  <fills count="7">
    <fill>
      <patternFill/>
    </fill>
    <fill>
      <patternFill patternType="gray125"/>
    </fill>
    <fill>
      <patternFill patternType="solid">
        <fgColor rgb="00475569"/>
        <bgColor rgb="00475569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2F2"/>
        <bgColor rgb="00FEF2F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 wrapText="1"/>
    </xf>
    <xf numFmtId="164" fontId="4" fillId="3" borderId="1" applyAlignment="1" pivotButton="0" quotePrefix="0" xfId="0">
      <alignment horizontal="right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164" fontId="7" fillId="5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8" fillId="5" borderId="2" applyAlignment="1" pivotButton="0" quotePrefix="0" xfId="0">
      <alignment horizontal="right" vertical="center" wrapText="1"/>
    </xf>
    <xf numFmtId="164" fontId="8" fillId="5" borderId="2" applyAlignment="1" pivotButton="0" quotePrefix="0" xfId="0">
      <alignment horizontal="right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30" customWidth="1" min="4" max="4"/>
    <col width="10" customWidth="1" min="5" max="5"/>
    <col width="10" customWidth="1" min="6" max="6"/>
    <col width="10" customWidth="1" min="7" max="7"/>
  </cols>
  <sheetData>
    <row r="1" ht="40" customHeight="1">
      <c r="A1" s="1" t="inlineStr">
        <is>
          <t>이중 겹 구조 육각형 돔 및 온·난방 유출 방지 설비 엔지니어링 패키지</t>
        </is>
      </c>
    </row>
    <row r="2" ht="25" customHeight="1">
      <c r="A2" s="2" t="inlineStr">
        <is>
          <t>프로젝트: 강원도 양구군 10m 이중 돔 건립 공사 관련 기술 문서 통합본</t>
        </is>
      </c>
    </row>
    <row r="3"/>
    <row r="4">
      <c r="A4" s="3" t="inlineStr">
        <is>
          <t>문서 개요</t>
        </is>
      </c>
    </row>
    <row r="5" ht="24" customHeight="1">
      <c r="A5" s="4" t="inlineStr">
        <is>
          <t>본 통합 엑셀 문서는 지름 10m 규격의 이중 구조 육각형 돔의 자재 규격, 상세 시방, 예산 견적, 조립 절차 및 현장 품질 관리용 체크리스트를 포함합니다.</t>
        </is>
      </c>
    </row>
    <row r="6" ht="24" customHeight="1">
      <c r="A6" s="4" t="inlineStr">
        <is>
          <t>본 돔은 내측의 육각형 구조체(골조)와 외측의 고밀도 기밀 유장 외피 사이에 120mm 정지 공기층을 형성하여 단열 성능을 극대화하였으며,</t>
        </is>
      </c>
    </row>
    <row r="7" ht="24" customHeight="1">
      <c r="A7" s="4" t="inlineStr">
        <is>
          <t>최외곽에는 4계절 기후 변화에 능동적으로 반응하는 모터 구동식 단열 커튼 설비를 장착하여 열손실과 복사열 유입을 물리적으로 차단합니다.</t>
        </is>
      </c>
    </row>
    <row r="8"/>
    <row r="9">
      <c r="A9" s="3" t="inlineStr">
        <is>
          <t>시트별 문서 구성 일람</t>
        </is>
      </c>
    </row>
    <row r="10" ht="26" customHeight="1">
      <c r="A10" s="5" t="inlineStr">
        <is>
          <t>시트명</t>
        </is>
      </c>
      <c r="B10" s="5" t="inlineStr">
        <is>
          <t>문서 분류</t>
        </is>
      </c>
      <c r="C10" s="5" t="inlineStr">
        <is>
          <t>주요 수록 내용</t>
        </is>
      </c>
      <c r="D10" s="5" t="inlineStr">
        <is>
          <t>연관 이미지 파일 (JPG)</t>
        </is>
      </c>
    </row>
    <row r="11" ht="26" customHeight="1">
      <c r="A11" s="6" t="inlineStr">
        <is>
          <t>1. 표지 및 개요</t>
        </is>
      </c>
      <c r="B11" s="6" t="inlineStr">
        <is>
          <t>종합 문서 개요</t>
        </is>
      </c>
      <c r="C11" s="7" t="inlineStr">
        <is>
          <t>프로젝트 정의, 구조 모델 개념도 및 종합 시트 구조 설명</t>
        </is>
      </c>
      <c r="D11" s="6" t="inlineStr">
        <is>
          <t>-</t>
        </is>
      </c>
    </row>
    <row r="12" ht="26" customHeight="1">
      <c r="A12" s="8" t="inlineStr">
        <is>
          <t>2. 설계 시방서</t>
        </is>
      </c>
      <c r="B12" s="8" t="inlineStr">
        <is>
          <t>상세 기술 시방</t>
        </is>
      </c>
      <c r="C12" s="9" t="inlineStr">
        <is>
          <t>내벽 골조, 단열 공기층, 외벽, 단열 커튼 시스템 정밀 물성 기준</t>
        </is>
      </c>
      <c r="D12" s="8" t="inlineStr">
        <is>
          <t>double_layered_dome_3d.jpg
double_layered_dome_section.jpg</t>
        </is>
      </c>
    </row>
    <row r="13" ht="26" customHeight="1">
      <c r="A13" s="6" t="inlineStr">
        <is>
          <t>3. 자재 명세서 (BOM)</t>
        </is>
      </c>
      <c r="B13" s="6" t="inlineStr">
        <is>
          <t>BOM 내역서</t>
        </is>
      </c>
      <c r="C13" s="7" t="inlineStr">
        <is>
          <t>공정에 소요되는 원자재 분류, 규격, 수량 및 재질별 리스트</t>
        </is>
      </c>
      <c r="D13" s="6" t="inlineStr">
        <is>
          <t>double_layered_dome_detail.jpg</t>
        </is>
      </c>
    </row>
    <row r="14" ht="26" customHeight="1">
      <c r="A14" s="8" t="inlineStr">
        <is>
          <t>4. 부품 및 시공 견적서</t>
        </is>
      </c>
      <c r="B14" s="8" t="inlineStr">
        <is>
          <t>예산 상세 견적</t>
        </is>
      </c>
      <c r="C14" s="9" t="inlineStr">
        <is>
          <t>공종별 정밀 가격 견적, 공급가액 및 VAT, 기성금/보증 조건</t>
        </is>
      </c>
      <c r="D14" s="8" t="inlineStr">
        <is>
          <t>-</t>
        </is>
      </c>
    </row>
    <row r="15" ht="26" customHeight="1">
      <c r="A15" s="6" t="inlineStr">
        <is>
          <t>5. 시공 체크리스트</t>
        </is>
      </c>
      <c r="B15" s="6" t="inlineStr">
        <is>
          <t>품질 검수 매뉴얼</t>
        </is>
      </c>
      <c r="C15" s="7" t="inlineStr">
        <is>
          <t>자재 반입, 기초 토목, 골조 조립, 방수, 통기, 커튼 등 단계별 체크리스트</t>
        </is>
      </c>
      <c r="D15" s="6" t="inlineStr">
        <is>
          <t>double_layered_dome_assembly.jpg</t>
        </is>
      </c>
    </row>
    <row r="16" ht="26" customHeight="1">
      <c r="A16" s="8" t="inlineStr">
        <is>
          <t>6. 조립 및 시공 유의사항</t>
        </is>
      </c>
      <c r="B16" s="8" t="inlineStr">
        <is>
          <t>현장 경고 시방</t>
        </is>
      </c>
      <c r="C16" s="9" t="inlineStr">
        <is>
          <t>열교 차단, 결로 방지 드레인 및 통기 밸브 시공법, 레일 정렬 유의사항</t>
        </is>
      </c>
      <c r="D16" s="8" t="inlineStr">
        <is>
          <t>-</t>
        </is>
      </c>
    </row>
  </sheetData>
  <mergeCells count="5">
    <mergeCell ref="A1:G1"/>
    <mergeCell ref="A6:G6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6" customWidth="1" min="4" max="4"/>
    <col width="38" customWidth="1" min="5" max="5"/>
  </cols>
  <sheetData>
    <row r="1" ht="45" customHeight="1">
      <c r="A1" s="1" t="inlineStr">
        <is>
          <t>이중 겹 구조 육각형 돔 온실 상세 설계 시방서</t>
        </is>
      </c>
    </row>
    <row r="2"/>
    <row r="3" ht="28" customHeight="1">
      <c r="A3" s="10" t="inlineStr">
        <is>
          <t>구분 분류</t>
        </is>
      </c>
      <c r="B3" s="10" t="inlineStr">
        <is>
          <t>엔지니어링 세부 항목</t>
        </is>
      </c>
      <c r="C3" s="10" t="inlineStr">
        <is>
          <t>표준 설계 치수 및 사양</t>
        </is>
      </c>
      <c r="D3" s="10" t="inlineStr">
        <is>
          <t>도입 자재 및 등급 표준</t>
        </is>
      </c>
      <c r="E3" s="10" t="inlineStr">
        <is>
          <t>열교 및 수밀 방어 기술안</t>
        </is>
      </c>
    </row>
    <row r="4" ht="42" customHeight="1">
      <c r="A4" s="8" t="inlineStr">
        <is>
          <t>내벽 골조</t>
        </is>
      </c>
      <c r="B4" s="8" t="inlineStr">
        <is>
          <t>육각형 뼈대(Struts)</t>
        </is>
      </c>
      <c r="C4" s="9" t="inlineStr">
        <is>
          <t>반경 5,000mm 돔에 맞춘 A, B, C 세 가지 길이 재단 (1,743 / 2,018 / 2,062 mm)</t>
        </is>
      </c>
      <c r="D4" s="9" t="inlineStr">
        <is>
          <t>AL 6061-T6 아노다이징 코팅 (두께 50x50x3.0t)</t>
        </is>
      </c>
      <c r="E4" s="9" t="inlineStr">
        <is>
          <t>조인트 접합부 고강도 SUS304 스타허브 볼트 관통 체결</t>
        </is>
      </c>
    </row>
    <row r="5" ht="42" customHeight="1">
      <c r="A5" s="6" t="inlineStr">
        <is>
          <t>내벽 골조</t>
        </is>
      </c>
      <c r="B5" s="6" t="inlineStr">
        <is>
          <t>메인 결합 스타허브</t>
        </is>
      </c>
      <c r="C5" s="7" t="inlineStr">
        <is>
          <t>5방향 허브(Ø220mm, 6.0t) 및 6방향 허브(Ø240mm, 6.0t) 기하학 고정 각도 벤딩</t>
        </is>
      </c>
      <c r="D5" s="7" t="inlineStr">
        <is>
          <t>SUS304 스테인리스 스틸 고온 프레스 성형재</t>
        </is>
      </c>
      <c r="E5" s="7" t="inlineStr">
        <is>
          <t>목재/AL 프레임 직접 접촉부 고무 절연 시트 포설</t>
        </is>
      </c>
    </row>
    <row r="6" ht="42" customHeight="1">
      <c r="A6" s="8" t="inlineStr">
        <is>
          <t>단열 공기층</t>
        </is>
      </c>
      <c r="B6" s="8" t="inlineStr">
        <is>
          <t>Thermo-Gap 공기층</t>
        </is>
      </c>
      <c r="C6" s="9" t="inlineStr">
        <is>
          <t>내벽 외측과 외벽 내측 사이의 정밀 120mm 간격 유지 공기막 형성</t>
        </is>
      </c>
      <c r="D6" s="9" t="inlineStr">
        <is>
          <t>밀폐식 정지 공기층 (Still Air Layer, 건조 공기 밀폐)</t>
        </is>
      </c>
      <c r="E6" s="9" t="inlineStr">
        <is>
          <t>열전도율 0.025 W/m·K 수준의 기체 단열 병 구조 구현</t>
        </is>
      </c>
    </row>
    <row r="7" ht="42" customHeight="1">
      <c r="A7" s="6" t="inlineStr">
        <is>
          <t>단열 공기층</t>
        </is>
      </c>
      <c r="B7" s="6" t="inlineStr">
        <is>
          <t>스페이서 브라켓</t>
        </is>
      </c>
      <c r="C7" s="7" t="inlineStr">
        <is>
          <t>높이 120mm x 두께 4.0t L형 브라켓, 내외 허브 프레임 일체형 직결 볼팅</t>
        </is>
      </c>
      <c r="D7" s="7" t="inlineStr">
        <is>
          <t>고하중 SUS304 구조용 스테인리스 스틸</t>
        </is>
      </c>
      <c r="E7" s="7" t="inlineStr">
        <is>
          <t>금속을 통한 열교 현상을 방지하기 위해 5.0t 테플론 단열 가스켓 삽입</t>
        </is>
      </c>
    </row>
    <row r="8" ht="42" customHeight="1">
      <c r="A8" s="8" t="inlineStr">
        <is>
          <t>외벽 구조</t>
        </is>
      </c>
      <c r="B8" s="8" t="inlineStr">
        <is>
          <t>외피 알루미늄 바</t>
        </is>
      </c>
      <c r="C8" s="9" t="inlineStr">
        <is>
          <t>AL 6061-T6 압출 성형 바, 유장 패널 밀착 캡 및 개스킷 삽입 홈 가공</t>
        </is>
      </c>
      <c r="D8" s="9" t="inlineStr">
        <is>
          <t>AL 6061-T6 표면 아노다이징 20㎛ 도막 가공</t>
        </is>
      </c>
      <c r="E8" s="9" t="inlineStr">
        <is>
          <t xml:space="preserve"> EP-날개식 가스켓 이중 날 압착 및 다우코닝 웨더 실링 처리</t>
        </is>
      </c>
    </row>
    <row r="9" ht="42" customHeight="1">
      <c r="A9" s="6" t="inlineStr">
        <is>
          <t>외벽 구조</t>
        </is>
      </c>
      <c r="B9" s="6" t="inlineStr">
        <is>
          <t>외장 글레이징 패널</t>
        </is>
      </c>
      <c r="C9" s="7" t="inlineStr">
        <is>
          <t>24mm 두께 Low-E 복층 안전유리 패널 (Panel Type 1, 2, 3 정밀 워터젯 재단)</t>
        </is>
      </c>
      <c r="D9" s="7" t="inlineStr">
        <is>
          <t>6mm Low-E + 12mm Argon + 6mm 강화유리</t>
        </is>
      </c>
      <c r="E9" s="7" t="inlineStr">
        <is>
          <t>열관류율 U-value 1.2 W/m²·K 이하 확보, 코너 실란트 보강</t>
        </is>
      </c>
    </row>
    <row r="10" ht="42" customHeight="1">
      <c r="A10" s="8" t="inlineStr">
        <is>
          <t>자동 단열커튼</t>
        </is>
      </c>
      <c r="B10" s="8" t="inlineStr">
        <is>
          <t>단열 및 고반사 스크린</t>
        </is>
      </c>
      <c r="C10" s="9" t="inlineStr">
        <is>
          <t>외부 슬라이딩 가이드 레일을 따라 모터 구동으로 돔 전면을 개폐하는 3중 차단 시트</t>
        </is>
      </c>
      <c r="D10" s="9" t="inlineStr">
        <is>
          <t>외측: 알루미늄 증착 필름 / 중측: 에어로젤 3mm / 내측: 고인장 타포린</t>
        </is>
      </c>
      <c r="E10" s="9" t="inlineStr">
        <is>
          <t>여름철 복사열 90% 이상 차단, 겨울철 야간 대류 방출 59.7% 감쇄</t>
        </is>
      </c>
    </row>
    <row r="11" ht="42" customHeight="1">
      <c r="A11" s="6" t="inlineStr">
        <is>
          <t>자동 단열커튼</t>
        </is>
      </c>
      <c r="B11" s="6" t="inlineStr">
        <is>
          <t>곡선 레일 및 모터</t>
        </is>
      </c>
      <c r="C11" s="7" t="inlineStr">
        <is>
          <t>R=5,000mm 3D CNC 벤딩 가이드 레일 및 IP66 방수 기어 튜블러 모터(120N·m) 6세트</t>
        </is>
      </c>
      <c r="D11" s="7" t="inlineStr">
        <is>
          <t>AL 압출 가이드 레일 + 고토크 방수 모터</t>
        </is>
      </c>
      <c r="E11" s="7" t="inlineStr">
        <is>
          <t>바람, 눈, 빛 감지 스마트 센서(PLC 제어) 연동 긴급 회수 기능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8" customWidth="1" min="4" max="4"/>
    <col width="10" customWidth="1" min="5" max="5"/>
    <col width="10" customWidth="1" min="6" max="6"/>
    <col width="32" customWidth="1" min="7" max="7"/>
  </cols>
  <sheetData>
    <row r="1" ht="45" customHeight="1">
      <c r="A1" s="1" t="inlineStr">
        <is>
          <t>이중 겹 구조 육각형 돔 자재 명세서 (BOM)</t>
        </is>
      </c>
    </row>
    <row r="2"/>
    <row r="3" ht="28" customHeight="1">
      <c r="A3" s="10" t="inlineStr">
        <is>
          <t>순번</t>
        </is>
      </c>
      <c r="B3" s="10" t="inlineStr">
        <is>
          <t>자재 분류</t>
        </is>
      </c>
      <c r="C3" s="10" t="inlineStr">
        <is>
          <t>부품명</t>
        </is>
      </c>
      <c r="D3" s="10" t="inlineStr">
        <is>
          <t>상세 규격 (mm/t)</t>
        </is>
      </c>
      <c r="E3" s="10" t="inlineStr">
        <is>
          <t>수량</t>
        </is>
      </c>
      <c r="F3" s="10" t="inlineStr">
        <is>
          <t>단위</t>
        </is>
      </c>
      <c r="G3" s="10" t="inlineStr">
        <is>
          <t>재질 및 기계적 특성</t>
        </is>
      </c>
    </row>
    <row r="4" ht="24" customHeight="1">
      <c r="A4" s="8" t="n">
        <v>1</v>
      </c>
      <c r="B4" s="8" t="inlineStr">
        <is>
          <t>내벽 골조</t>
        </is>
      </c>
      <c r="C4" s="9" t="inlineStr">
        <is>
          <t>Inner Strut A</t>
        </is>
      </c>
      <c r="D4" s="8" t="inlineStr">
        <is>
          <t>1,743 mm (50 x 50 x 3.0t)</t>
        </is>
      </c>
      <c r="E4" s="8" t="n">
        <v>30</v>
      </c>
      <c r="F4" s="8" t="inlineStr">
        <is>
          <t>EA</t>
        </is>
      </c>
      <c r="G4" s="9" t="inlineStr">
        <is>
          <t>AL 6061-T6 아노다이징 코팅</t>
        </is>
      </c>
    </row>
    <row r="5" ht="24" customHeight="1">
      <c r="A5" s="6" t="n">
        <v>2</v>
      </c>
      <c r="B5" s="6" t="inlineStr">
        <is>
          <t>내벽 골조</t>
        </is>
      </c>
      <c r="C5" s="7" t="inlineStr">
        <is>
          <t>Inner Strut B</t>
        </is>
      </c>
      <c r="D5" s="6" t="inlineStr">
        <is>
          <t>2,018 mm (50 x 50 x 3.0t)</t>
        </is>
      </c>
      <c r="E5" s="6" t="n">
        <v>55</v>
      </c>
      <c r="F5" s="6" t="inlineStr">
        <is>
          <t>EA</t>
        </is>
      </c>
      <c r="G5" s="7" t="inlineStr">
        <is>
          <t>AL 6061-T6 아노다이징 코팅</t>
        </is>
      </c>
    </row>
    <row r="6" ht="24" customHeight="1">
      <c r="A6" s="8" t="n">
        <v>3</v>
      </c>
      <c r="B6" s="8" t="inlineStr">
        <is>
          <t>내벽 골조</t>
        </is>
      </c>
      <c r="C6" s="9" t="inlineStr">
        <is>
          <t>Inner Strut C</t>
        </is>
      </c>
      <c r="D6" s="8" t="inlineStr">
        <is>
          <t>2,062 mm (50 x 50 x 3.0t)</t>
        </is>
      </c>
      <c r="E6" s="8" t="n">
        <v>80</v>
      </c>
      <c r="F6" s="8" t="inlineStr">
        <is>
          <t>EA</t>
        </is>
      </c>
      <c r="G6" s="9" t="inlineStr">
        <is>
          <t>AL 6061-T6 아노다이징 코팅</t>
        </is>
      </c>
    </row>
    <row r="7" ht="24" customHeight="1">
      <c r="A7" s="6" t="n">
        <v>4</v>
      </c>
      <c r="B7" s="6" t="inlineStr">
        <is>
          <t>내벽 골조</t>
        </is>
      </c>
      <c r="C7" s="7" t="inlineStr">
        <is>
          <t>Inner Hub (5-way)</t>
        </is>
      </c>
      <c r="D7" s="6" t="inlineStr">
        <is>
          <t>Ø220 mm, 6.0t 플레이트</t>
        </is>
      </c>
      <c r="E7" s="6" t="n">
        <v>6</v>
      </c>
      <c r="F7" s="6" t="inlineStr">
        <is>
          <t>EA</t>
        </is>
      </c>
      <c r="G7" s="7" t="inlineStr">
        <is>
          <t>SUS304 고정각 고온 프레스 절곡</t>
        </is>
      </c>
    </row>
    <row r="8" ht="24" customHeight="1">
      <c r="A8" s="8" t="n">
        <v>5</v>
      </c>
      <c r="B8" s="8" t="inlineStr">
        <is>
          <t>내벽 골조</t>
        </is>
      </c>
      <c r="C8" s="9" t="inlineStr">
        <is>
          <t>Inner Hub (6-way)</t>
        </is>
      </c>
      <c r="D8" s="8" t="inlineStr">
        <is>
          <t>Ø240 mm, 6.0t 플레이트</t>
        </is>
      </c>
      <c r="E8" s="8" t="n">
        <v>55</v>
      </c>
      <c r="F8" s="8" t="inlineStr">
        <is>
          <t>EA</t>
        </is>
      </c>
      <c r="G8" s="9" t="inlineStr">
        <is>
          <t>SUS304 고정각 고온 프레스 절곡</t>
        </is>
      </c>
    </row>
    <row r="9" ht="24" customHeight="1">
      <c r="A9" s="6" t="n">
        <v>6</v>
      </c>
      <c r="B9" s="6" t="inlineStr">
        <is>
          <t>단열 공기층</t>
        </is>
      </c>
      <c r="C9" s="7" t="inlineStr">
        <is>
          <t>Thermal Spacer Bracket</t>
        </is>
      </c>
      <c r="D9" s="6" t="inlineStr">
        <is>
          <t>높이 120 mm x 두께 4.0t</t>
        </is>
      </c>
      <c r="E9" s="6" t="n">
        <v>165</v>
      </c>
      <c r="F9" s="6" t="inlineStr">
        <is>
          <t>EA</t>
        </is>
      </c>
      <c r="G9" s="7" t="inlineStr">
        <is>
          <t>SUS304 및 5.0t 테플론 패드 포함</t>
        </is>
      </c>
    </row>
    <row r="10" ht="24" customHeight="1">
      <c r="A10" s="8" t="n">
        <v>7</v>
      </c>
      <c r="B10" s="8" t="inlineStr">
        <is>
          <t>단열 공기층</t>
        </is>
      </c>
      <c r="C10" s="9" t="inlineStr">
        <is>
          <t>Breather Valve System</t>
        </is>
      </c>
      <c r="D10" s="8" t="inlineStr">
        <is>
          <t>결로방지 흡습 환기 밸브</t>
        </is>
      </c>
      <c r="E10" s="8" t="n">
        <v>6</v>
      </c>
      <c r="F10" s="8" t="inlineStr">
        <is>
          <t>Set</t>
        </is>
      </c>
      <c r="G10" s="9" t="inlineStr">
        <is>
          <t>EPDM 씰링 및 교체식 실리카겔 필터</t>
        </is>
      </c>
    </row>
    <row r="11" ht="24" customHeight="1">
      <c r="A11" s="6" t="n">
        <v>8</v>
      </c>
      <c r="B11" s="6" t="inlineStr">
        <is>
          <t>외벽 구조</t>
        </is>
      </c>
      <c r="C11" s="7" t="inlineStr">
        <is>
          <t>Outer Cap Profile</t>
        </is>
      </c>
      <c r="D11" s="6" t="inlineStr">
        <is>
          <t>글레이징 캡 바 (길이별 정밀 벤딩 재단)</t>
        </is>
      </c>
      <c r="E11" s="6" t="n">
        <v>165</v>
      </c>
      <c r="F11" s="6" t="inlineStr">
        <is>
          <t>EA</t>
        </is>
      </c>
      <c r="G11" s="7" t="inlineStr">
        <is>
          <t>AL 6061-T6 압출 바, 가스켓 홈 가공</t>
        </is>
      </c>
    </row>
    <row r="12" ht="24" customHeight="1">
      <c r="A12" s="8" t="n">
        <v>9</v>
      </c>
      <c r="B12" s="8" t="inlineStr">
        <is>
          <t>외벽 구조</t>
        </is>
      </c>
      <c r="C12" s="9" t="inlineStr">
        <is>
          <t>Glass Panel Type 1</t>
        </is>
      </c>
      <c r="D12" s="8" t="inlineStr">
        <is>
          <t>1,743 x 2,018 x 2,018 (24t)</t>
        </is>
      </c>
      <c r="E12" s="8" t="n">
        <v>60</v>
      </c>
      <c r="F12" s="8" t="inlineStr">
        <is>
          <t>EA</t>
        </is>
      </c>
      <c r="G12" s="9" t="inlineStr">
        <is>
          <t>Low-E 6mm + 12Ar + 6mm 강화복층유리</t>
        </is>
      </c>
    </row>
    <row r="13" ht="24" customHeight="1">
      <c r="A13" s="6" t="n">
        <v>10</v>
      </c>
      <c r="B13" s="6" t="inlineStr">
        <is>
          <t>외벽 구조</t>
        </is>
      </c>
      <c r="C13" s="7" t="inlineStr">
        <is>
          <t>Glass Panel Type 2</t>
        </is>
      </c>
      <c r="D13" s="6" t="inlineStr">
        <is>
          <t>1,743 x 1,743 x 1,743 (24t)</t>
        </is>
      </c>
      <c r="E13" s="6" t="n">
        <v>10</v>
      </c>
      <c r="F13" s="6" t="inlineStr">
        <is>
          <t>EA</t>
        </is>
      </c>
      <c r="G13" s="7" t="inlineStr">
        <is>
          <t>Low-E 6mm + 12Ar + 6mm 강화복층유리</t>
        </is>
      </c>
    </row>
    <row r="14" ht="24" customHeight="1">
      <c r="A14" s="8" t="n">
        <v>11</v>
      </c>
      <c r="B14" s="8" t="inlineStr">
        <is>
          <t>외벽 구조</t>
        </is>
      </c>
      <c r="C14" s="9" t="inlineStr">
        <is>
          <t>Glass Panel Type 3</t>
        </is>
      </c>
      <c r="D14" s="8" t="inlineStr">
        <is>
          <t>2,018 x 2,062 x 2,062 (24t)</t>
        </is>
      </c>
      <c r="E14" s="8" t="n">
        <v>35</v>
      </c>
      <c r="F14" s="8" t="inlineStr">
        <is>
          <t>EA</t>
        </is>
      </c>
      <c r="G14" s="9" t="inlineStr">
        <is>
          <t>Low-E 6mm + 12Ar + 6mm 강화복층유리</t>
        </is>
      </c>
    </row>
    <row r="15" ht="24" customHeight="1">
      <c r="A15" s="6" t="n">
        <v>12</v>
      </c>
      <c r="B15" s="6" t="inlineStr">
        <is>
          <t>방수/실링</t>
        </is>
      </c>
      <c r="C15" s="7" t="inlineStr">
        <is>
          <t>EPDM 날개 가스켓</t>
        </is>
      </c>
      <c r="D15" s="6" t="inlineStr">
        <is>
          <t>이중 날개 압착형 러버 프로파일</t>
        </is>
      </c>
      <c r="E15" s="6" t="n">
        <v>330</v>
      </c>
      <c r="F15" s="6" t="inlineStr">
        <is>
          <t>m</t>
        </is>
      </c>
      <c r="G15" s="7" t="inlineStr">
        <is>
          <t>고탄성 EPDM 고무 코일식 납품</t>
        </is>
      </c>
    </row>
    <row r="16" ht="24" customHeight="1">
      <c r="A16" s="8" t="n">
        <v>13</v>
      </c>
      <c r="B16" s="8" t="inlineStr">
        <is>
          <t>방수/실링</t>
        </is>
      </c>
      <c r="C16" s="9" t="inlineStr">
        <is>
          <t>구조용 실란트</t>
        </is>
      </c>
      <c r="D16" s="8" t="inlineStr">
        <is>
          <t>다우코닝 791 고기후성 씰</t>
        </is>
      </c>
      <c r="E16" s="8" t="n">
        <v>40</v>
      </c>
      <c r="F16" s="8" t="inlineStr">
        <is>
          <t>Can</t>
        </is>
      </c>
      <c r="G16" s="9" t="inlineStr">
        <is>
          <t>실리콘 웨더 실란트, 프라이머 포함</t>
        </is>
      </c>
    </row>
    <row r="17" ht="24" customHeight="1">
      <c r="A17" s="6" t="n">
        <v>14</v>
      </c>
      <c r="B17" s="6" t="inlineStr">
        <is>
          <t>자동 커튼</t>
        </is>
      </c>
      <c r="C17" s="7" t="inlineStr">
        <is>
          <t>Multi-layer Curtain</t>
        </is>
      </c>
      <c r="D17" s="6" t="inlineStr">
        <is>
          <t>3중 구조 고반사/방한 스크린</t>
        </is>
      </c>
      <c r="E17" s="6" t="n">
        <v>140</v>
      </c>
      <c r="F17" s="6" t="inlineStr">
        <is>
          <t>m²</t>
        </is>
      </c>
      <c r="G17" s="7" t="inlineStr">
        <is>
          <t>알루미늄 증착지 + 에어로젤 + 타포린</t>
        </is>
      </c>
    </row>
    <row r="18" ht="24" customHeight="1">
      <c r="A18" s="8" t="n">
        <v>15</v>
      </c>
      <c r="B18" s="8" t="inlineStr">
        <is>
          <t>자동 커튼</t>
        </is>
      </c>
      <c r="C18" s="9" t="inlineStr">
        <is>
          <t>Curved Guide Rails</t>
        </is>
      </c>
      <c r="D18" s="8" t="inlineStr">
        <is>
          <t>R=5,000 곡률 벤딩 T형 가이드</t>
        </is>
      </c>
      <c r="E18" s="8" t="n">
        <v>12</v>
      </c>
      <c r="F18" s="8" t="inlineStr">
        <is>
          <t>EA</t>
        </is>
      </c>
      <c r="G18" s="9" t="inlineStr">
        <is>
          <t>알루미늄 아노다이징 전용 압출 레일</t>
        </is>
      </c>
    </row>
    <row r="19" ht="24" customHeight="1">
      <c r="A19" s="6" t="n">
        <v>16</v>
      </c>
      <c r="B19" s="6" t="inlineStr">
        <is>
          <t>자동 커튼</t>
        </is>
      </c>
      <c r="C19" s="7" t="inlineStr">
        <is>
          <t>Tubular Winch Motor</t>
        </is>
      </c>
      <c r="D19" s="6" t="inlineStr">
        <is>
          <t>IP66 방수 등급 전동 롤링 모터</t>
        </is>
      </c>
      <c r="E19" s="6" t="n">
        <v>6</v>
      </c>
      <c r="F19" s="6" t="inlineStr">
        <is>
          <t>EA</t>
        </is>
      </c>
      <c r="G19" s="7" t="inlineStr">
        <is>
          <t>고토크 윈치 튜블러 모터 (120N·m)</t>
        </is>
      </c>
    </row>
    <row r="20" ht="24" customHeight="1">
      <c r="A20" s="8" t="n">
        <v>17</v>
      </c>
      <c r="B20" s="8" t="inlineStr">
        <is>
          <t>자동 커튼</t>
        </is>
      </c>
      <c r="C20" s="9" t="inlineStr">
        <is>
          <t>Control Panel &amp; Sensors</t>
        </is>
      </c>
      <c r="D20" s="8" t="inlineStr">
        <is>
          <t>복합 센서 제어용 컨트롤러</t>
        </is>
      </c>
      <c r="E20" s="8" t="n">
        <v>1</v>
      </c>
      <c r="F20" s="8" t="inlineStr">
        <is>
          <t>Set</t>
        </is>
      </c>
      <c r="G20" s="9" t="inlineStr">
        <is>
          <t>풍하중/적설/조도 센서 연동 PLC 제어반</t>
        </is>
      </c>
    </row>
    <row r="21" ht="24" customHeight="1">
      <c r="A21" s="6" t="n">
        <v>18</v>
      </c>
      <c r="B21" s="6" t="inlineStr">
        <is>
          <t>토목/시공</t>
        </is>
      </c>
      <c r="C21" s="7" t="inlineStr">
        <is>
          <t>기단 콘크리트 및 하부 앵커</t>
        </is>
      </c>
      <c r="D21" s="6" t="inlineStr">
        <is>
          <t>기초 터파기 및 앵커 플레이트 식립</t>
        </is>
      </c>
      <c r="E21" s="6" t="n">
        <v>1</v>
      </c>
      <c r="F21" s="6" t="inlineStr">
        <is>
          <t>식</t>
        </is>
      </c>
      <c r="G21" s="7" t="inlineStr">
        <is>
          <t>레미콘 25-24-150 타설 및 D13 철근 배근</t>
        </is>
      </c>
    </row>
    <row r="22" ht="24" customHeight="1">
      <c r="A22" s="8" t="n">
        <v>19</v>
      </c>
      <c r="B22" s="8" t="inlineStr">
        <is>
          <t>토목/시공</t>
        </is>
      </c>
      <c r="C22" s="9" t="inlineStr">
        <is>
          <t>장비 임대 및 기술감리</t>
        </is>
      </c>
      <c r="D22" s="8" t="inlineStr">
        <is>
          <t>크레인 사용 및 구조 기술사 검수</t>
        </is>
      </c>
      <c r="E22" s="8" t="n">
        <v>1</v>
      </c>
      <c r="F22" s="8" t="inlineStr">
        <is>
          <t>식</t>
        </is>
      </c>
      <c r="G22" s="9" t="inlineStr">
        <is>
          <t>유리 인양 미니 크레인 3일 및 현장 감리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6" customWidth="1" min="4" max="4"/>
    <col width="10" customWidth="1" min="5" max="5"/>
    <col width="10" customWidth="1" min="6" max="6"/>
    <col width="25" customWidth="1" min="7" max="7"/>
    <col width="15" customWidth="1" min="8" max="8"/>
    <col width="18" customWidth="1" min="9" max="9"/>
  </cols>
  <sheetData>
    <row r="1" ht="45" customHeight="1">
      <c r="A1" s="1" t="inlineStr">
        <is>
          <t>이중 겹 구조 육각형 돔 및 온·난방 유출 방지 설비 견적서</t>
        </is>
      </c>
    </row>
    <row r="2" ht="20" customHeight="1">
      <c r="A2" s="11" t="inlineStr">
        <is>
          <t>발행일: 2026년 05월 30일 / 공급 규모: 지름 10m 이중 구조 돔 / 총 견적 금액: ₩76,241,000 (부가세 포함)</t>
        </is>
      </c>
    </row>
    <row r="3"/>
    <row r="4" ht="28" customHeight="1">
      <c r="A4" s="10" t="inlineStr">
        <is>
          <t>순번</t>
        </is>
      </c>
      <c r="B4" s="10" t="inlineStr">
        <is>
          <t>자재 분류</t>
        </is>
      </c>
      <c r="C4" s="10" t="inlineStr">
        <is>
          <t>부품명</t>
        </is>
      </c>
      <c r="D4" s="10" t="inlineStr">
        <is>
          <t>상세 규격(mm/t/외)</t>
        </is>
      </c>
      <c r="E4" s="10" t="inlineStr">
        <is>
          <t>수량</t>
        </is>
      </c>
      <c r="F4" s="10" t="inlineStr">
        <is>
          <t>단위</t>
        </is>
      </c>
      <c r="G4" s="10" t="inlineStr">
        <is>
          <t>재질 및 특성</t>
        </is>
      </c>
      <c r="H4" s="10" t="inlineStr">
        <is>
          <t>단가(KRW)</t>
        </is>
      </c>
      <c r="I4" s="10" t="inlineStr">
        <is>
          <t>합계 금액(KRW)</t>
        </is>
      </c>
    </row>
    <row r="5" ht="24" customHeight="1">
      <c r="A5" s="6" t="n">
        <v>1</v>
      </c>
      <c r="B5" s="6" t="inlineStr">
        <is>
          <t>내벽 골조</t>
        </is>
      </c>
      <c r="C5" s="7" t="inlineStr">
        <is>
          <t>Inner Strut A</t>
        </is>
      </c>
      <c r="D5" s="6" t="inlineStr">
        <is>
          <t>1,743mm (50x50x3.0t)</t>
        </is>
      </c>
      <c r="E5" s="6" t="n">
        <v>30</v>
      </c>
      <c r="F5" s="6" t="inlineStr">
        <is>
          <t>EA</t>
        </is>
      </c>
      <c r="G5" s="6" t="inlineStr">
        <is>
          <t>AL 6061-T6 아노다이징</t>
        </is>
      </c>
      <c r="H5" s="12" t="n">
        <v>32000</v>
      </c>
      <c r="I5" s="12">
        <f>E5*H5</f>
        <v/>
      </c>
    </row>
    <row r="6" ht="24" customHeight="1">
      <c r="A6" s="8" t="n">
        <v>2</v>
      </c>
      <c r="B6" s="8" t="inlineStr">
        <is>
          <t>내벽 골조</t>
        </is>
      </c>
      <c r="C6" s="9" t="inlineStr">
        <is>
          <t>Inner Strut B</t>
        </is>
      </c>
      <c r="D6" s="8" t="inlineStr">
        <is>
          <t>2,018mm (50x50x3.0t)</t>
        </is>
      </c>
      <c r="E6" s="8" t="n">
        <v>55</v>
      </c>
      <c r="F6" s="8" t="inlineStr">
        <is>
          <t>EA</t>
        </is>
      </c>
      <c r="G6" s="8" t="inlineStr">
        <is>
          <t>AL 6061-T6 아노다이징</t>
        </is>
      </c>
      <c r="H6" s="13" t="n">
        <v>34000</v>
      </c>
      <c r="I6" s="13">
        <f>E6*H6</f>
        <v/>
      </c>
    </row>
    <row r="7" ht="24" customHeight="1">
      <c r="A7" s="6" t="n">
        <v>3</v>
      </c>
      <c r="B7" s="6" t="inlineStr">
        <is>
          <t>내벽 골조</t>
        </is>
      </c>
      <c r="C7" s="7" t="inlineStr">
        <is>
          <t>Inner Strut C</t>
        </is>
      </c>
      <c r="D7" s="6" t="inlineStr">
        <is>
          <t>2,062mm (50x50x3.0t)</t>
        </is>
      </c>
      <c r="E7" s="6" t="n">
        <v>80</v>
      </c>
      <c r="F7" s="6" t="inlineStr">
        <is>
          <t>EA</t>
        </is>
      </c>
      <c r="G7" s="6" t="inlineStr">
        <is>
          <t>AL 6061-T6 아노다이징</t>
        </is>
      </c>
      <c r="H7" s="12" t="n">
        <v>35000</v>
      </c>
      <c r="I7" s="12">
        <f>E7*H7</f>
        <v/>
      </c>
    </row>
    <row r="8" ht="24" customHeight="1">
      <c r="A8" s="8" t="n">
        <v>4</v>
      </c>
      <c r="B8" s="8" t="inlineStr">
        <is>
          <t>내벽 골조</t>
        </is>
      </c>
      <c r="C8" s="9" t="inlineStr">
        <is>
          <t>Inner Hub Joint (5-way)</t>
        </is>
      </c>
      <c r="D8" s="8" t="inlineStr">
        <is>
          <t>Ø220mm, 6.0t 플레이트</t>
        </is>
      </c>
      <c r="E8" s="8" t="n">
        <v>6</v>
      </c>
      <c r="F8" s="8" t="inlineStr">
        <is>
          <t>EA</t>
        </is>
      </c>
      <c r="G8" s="8" t="inlineStr">
        <is>
          <t>SUS304 스테인리스 스틸</t>
        </is>
      </c>
      <c r="H8" s="13" t="n">
        <v>50000</v>
      </c>
      <c r="I8" s="13">
        <f>E8*H8</f>
        <v/>
      </c>
    </row>
    <row r="9" ht="24" customHeight="1">
      <c r="A9" s="6" t="n">
        <v>5</v>
      </c>
      <c r="B9" s="6" t="inlineStr">
        <is>
          <t>내벽 골조</t>
        </is>
      </c>
      <c r="C9" s="7" t="inlineStr">
        <is>
          <t>Inner Hub Joint (6-way)</t>
        </is>
      </c>
      <c r="D9" s="6" t="inlineStr">
        <is>
          <t>Ø240mm, 6.0t 플레이트</t>
        </is>
      </c>
      <c r="E9" s="6" t="n">
        <v>55</v>
      </c>
      <c r="F9" s="6" t="inlineStr">
        <is>
          <t>EA</t>
        </is>
      </c>
      <c r="G9" s="6" t="inlineStr">
        <is>
          <t>SUS304 스테인리스 스틸</t>
        </is>
      </c>
      <c r="H9" s="12" t="n">
        <v>60000</v>
      </c>
      <c r="I9" s="12">
        <f>E9*H9</f>
        <v/>
      </c>
    </row>
    <row r="10" ht="24" customHeight="1">
      <c r="A10" s="8" t="n">
        <v>6</v>
      </c>
      <c r="B10" s="8" t="inlineStr">
        <is>
          <t>단열 공기층</t>
        </is>
      </c>
      <c r="C10" s="9" t="inlineStr">
        <is>
          <t>Thermal Spacer Bracket</t>
        </is>
      </c>
      <c r="D10" s="8" t="inlineStr">
        <is>
          <t>높이 120mm x 두께 4.0t</t>
        </is>
      </c>
      <c r="E10" s="8" t="n">
        <v>165</v>
      </c>
      <c r="F10" s="8" t="inlineStr">
        <is>
          <t>EA</t>
        </is>
      </c>
      <c r="G10" s="8" t="inlineStr">
        <is>
          <t>SUS304 및 단열 테플론 패드</t>
        </is>
      </c>
      <c r="H10" s="13" t="n">
        <v>15000</v>
      </c>
      <c r="I10" s="13">
        <f>E10*H10</f>
        <v/>
      </c>
    </row>
    <row r="11" ht="24" customHeight="1">
      <c r="A11" s="6" t="n">
        <v>7</v>
      </c>
      <c r="B11" s="6" t="inlineStr">
        <is>
          <t>단열 공기층</t>
        </is>
      </c>
      <c r="C11" s="7" t="inlineStr">
        <is>
          <t>Breather Valve System</t>
        </is>
      </c>
      <c r="D11" s="6" t="inlineStr">
        <is>
          <t>결로방지 흡습 밸브 필터</t>
        </is>
      </c>
      <c r="E11" s="6" t="n">
        <v>6</v>
      </c>
      <c r="F11" s="6" t="inlineStr">
        <is>
          <t>Set</t>
        </is>
      </c>
      <c r="G11" s="6" t="inlineStr">
        <is>
          <t>EPDM 및 실리카겔 필터</t>
        </is>
      </c>
      <c r="H11" s="12" t="n">
        <v>150000</v>
      </c>
      <c r="I11" s="12">
        <f>E11*H11</f>
        <v/>
      </c>
    </row>
    <row r="12" ht="24" customHeight="1">
      <c r="A12" s="8" t="n">
        <v>8</v>
      </c>
      <c r="B12" s="8" t="inlineStr">
        <is>
          <t>외벽 구조</t>
        </is>
      </c>
      <c r="C12" s="9" t="inlineStr">
        <is>
          <t>Outer Cap Profile</t>
        </is>
      </c>
      <c r="D12" s="8" t="inlineStr">
        <is>
          <t>글레이징 바 (길이별 재단)</t>
        </is>
      </c>
      <c r="E12" s="8" t="n">
        <v>165</v>
      </c>
      <c r="F12" s="8" t="inlineStr">
        <is>
          <t>EA</t>
        </is>
      </c>
      <c r="G12" s="8" t="inlineStr">
        <is>
          <t>AL 6061-T6 캡 프로파일</t>
        </is>
      </c>
      <c r="H12" s="13" t="n">
        <v>25000</v>
      </c>
      <c r="I12" s="13">
        <f>E12*H12</f>
        <v/>
      </c>
    </row>
    <row r="13" ht="24" customHeight="1">
      <c r="A13" s="6" t="n">
        <v>9</v>
      </c>
      <c r="B13" s="6" t="inlineStr">
        <is>
          <t>외벽 구조</t>
        </is>
      </c>
      <c r="C13" s="7" t="inlineStr">
        <is>
          <t>Glass Panel Type 1</t>
        </is>
      </c>
      <c r="D13" s="6" t="inlineStr">
        <is>
          <t>1,743 x 2,018 x 2,018 (24t)</t>
        </is>
      </c>
      <c r="E13" s="6" t="n">
        <v>60</v>
      </c>
      <c r="F13" s="6" t="inlineStr">
        <is>
          <t>EA</t>
        </is>
      </c>
      <c r="G13" s="6" t="inlineStr">
        <is>
          <t>6t Low-E + 12Ar + 6t 강화</t>
        </is>
      </c>
      <c r="H13" s="12" t="n">
        <v>175000</v>
      </c>
      <c r="I13" s="12">
        <f>E13*H13</f>
        <v/>
      </c>
    </row>
    <row r="14" ht="24" customHeight="1">
      <c r="A14" s="8" t="n">
        <v>10</v>
      </c>
      <c r="B14" s="8" t="inlineStr">
        <is>
          <t>외벽 구조</t>
        </is>
      </c>
      <c r="C14" s="9" t="inlineStr">
        <is>
          <t>Glass Panel Type 2</t>
        </is>
      </c>
      <c r="D14" s="8" t="inlineStr">
        <is>
          <t>1,743 x 1,743 x 1,743 (24t)</t>
        </is>
      </c>
      <c r="E14" s="8" t="n">
        <v>10</v>
      </c>
      <c r="F14" s="8" t="inlineStr">
        <is>
          <t>EA</t>
        </is>
      </c>
      <c r="G14" s="8" t="inlineStr">
        <is>
          <t>6t Low-E + 12Ar + 6t 강화</t>
        </is>
      </c>
      <c r="H14" s="13" t="n">
        <v>165000</v>
      </c>
      <c r="I14" s="13">
        <f>E14*H14</f>
        <v/>
      </c>
    </row>
    <row r="15" ht="24" customHeight="1">
      <c r="A15" s="6" t="n">
        <v>11</v>
      </c>
      <c r="B15" s="6" t="inlineStr">
        <is>
          <t>외벽 구조</t>
        </is>
      </c>
      <c r="C15" s="7" t="inlineStr">
        <is>
          <t>Glass Panel Type 3</t>
        </is>
      </c>
      <c r="D15" s="6" t="inlineStr">
        <is>
          <t>2,018 x 2,062 x 2,062 (24t)</t>
        </is>
      </c>
      <c r="E15" s="6" t="n">
        <v>35</v>
      </c>
      <c r="F15" s="6" t="inlineStr">
        <is>
          <t>EA</t>
        </is>
      </c>
      <c r="G15" s="6" t="inlineStr">
        <is>
          <t>6t Low-E + 12Ar + 6t 강화</t>
        </is>
      </c>
      <c r="H15" s="12" t="n">
        <v>190000</v>
      </c>
      <c r="I15" s="12">
        <f>E15*H15</f>
        <v/>
      </c>
    </row>
    <row r="16" ht="24" customHeight="1">
      <c r="A16" s="8" t="n">
        <v>12</v>
      </c>
      <c r="B16" s="8" t="inlineStr">
        <is>
          <t>방수/실링</t>
        </is>
      </c>
      <c r="C16" s="9" t="inlineStr">
        <is>
          <t>EPDM 날개형 가스켓</t>
        </is>
      </c>
      <c r="D16" s="8" t="inlineStr">
        <is>
          <t>이중 압착형 러버 프로파일</t>
        </is>
      </c>
      <c r="E16" s="8" t="n">
        <v>330</v>
      </c>
      <c r="F16" s="8" t="inlineStr">
        <is>
          <t>m</t>
        </is>
      </c>
      <c r="G16" s="8" t="inlineStr">
        <is>
          <t>고탄성 EPDM 고무 패킹</t>
        </is>
      </c>
      <c r="H16" s="13" t="n">
        <v>6000</v>
      </c>
      <c r="I16" s="13">
        <f>E16*H16</f>
        <v/>
      </c>
    </row>
    <row r="17" ht="24" customHeight="1">
      <c r="A17" s="6" t="n">
        <v>13</v>
      </c>
      <c r="B17" s="6" t="inlineStr">
        <is>
          <t>방수/실링</t>
        </is>
      </c>
      <c r="C17" s="7" t="inlineStr">
        <is>
          <t>구조용 실란트</t>
        </is>
      </c>
      <c r="D17" s="6" t="inlineStr">
        <is>
          <t>다우코닝 791 고기후용 씰</t>
        </is>
      </c>
      <c r="E17" s="6" t="n">
        <v>40</v>
      </c>
      <c r="F17" s="6" t="inlineStr">
        <is>
          <t>Can</t>
        </is>
      </c>
      <c r="G17" s="6" t="inlineStr">
        <is>
          <t>실리콘 웨더 실란트</t>
        </is>
      </c>
      <c r="H17" s="12" t="n">
        <v>39000</v>
      </c>
      <c r="I17" s="12">
        <f>E17*H17</f>
        <v/>
      </c>
    </row>
    <row r="18" ht="24" customHeight="1">
      <c r="A18" s="8" t="n">
        <v>14</v>
      </c>
      <c r="B18" s="8" t="inlineStr">
        <is>
          <t>자동 단열커튼</t>
        </is>
      </c>
      <c r="C18" s="9" t="inlineStr">
        <is>
          <t>Multi-layer thermal fabric</t>
        </is>
      </c>
      <c r="D18" s="8" t="inlineStr">
        <is>
          <t>알루미늄 증착 + 다공성 에어로젤</t>
        </is>
      </c>
      <c r="E18" s="8" t="n">
        <v>140</v>
      </c>
      <c r="F18" s="8" t="inlineStr">
        <is>
          <t>m²</t>
        </is>
      </c>
      <c r="G18" s="8" t="inlineStr">
        <is>
          <t>3중 구조 반사/단열 타포린</t>
        </is>
      </c>
      <c r="H18" s="13" t="n">
        <v>45000</v>
      </c>
      <c r="I18" s="13">
        <f>E18*H18</f>
        <v/>
      </c>
    </row>
    <row r="19" ht="24" customHeight="1">
      <c r="A19" s="6" t="n">
        <v>15</v>
      </c>
      <c r="B19" s="6" t="inlineStr">
        <is>
          <t>자동 단열커튼</t>
        </is>
      </c>
      <c r="C19" s="7" t="inlineStr">
        <is>
          <t>Curved Guide Rails</t>
        </is>
      </c>
      <c r="D19" s="6" t="inlineStr">
        <is>
          <t>돔 곡률 벤딩 T형 가이드</t>
        </is>
      </c>
      <c r="E19" s="6" t="n">
        <v>12</v>
      </c>
      <c r="F19" s="6" t="inlineStr">
        <is>
          <t>EA</t>
        </is>
      </c>
      <c r="G19" s="6" t="inlineStr">
        <is>
          <t>AL 아노다이징 압출 레일</t>
        </is>
      </c>
      <c r="H19" s="12" t="n">
        <v>120000</v>
      </c>
      <c r="I19" s="12">
        <f>E19*H19</f>
        <v/>
      </c>
    </row>
    <row r="20" ht="24" customHeight="1">
      <c r="A20" s="8" t="n">
        <v>16</v>
      </c>
      <c r="B20" s="8" t="inlineStr">
        <is>
          <t>자동 단열커튼</t>
        </is>
      </c>
      <c r="C20" s="9" t="inlineStr">
        <is>
          <t>Tubular Winch Motor</t>
        </is>
      </c>
      <c r="D20" s="8" t="inlineStr">
        <is>
          <t>IP66 등급 방수형 전동 모터</t>
        </is>
      </c>
      <c r="E20" s="8" t="n">
        <v>6</v>
      </c>
      <c r="F20" s="8" t="inlineStr">
        <is>
          <t>EA</t>
        </is>
      </c>
      <c r="G20" s="8" t="inlineStr">
        <is>
          <t>고토크 윈치 모터 (120N·m)</t>
        </is>
      </c>
      <c r="H20" s="13" t="n">
        <v>450000</v>
      </c>
      <c r="I20" s="13">
        <f>E20*H20</f>
        <v/>
      </c>
    </row>
    <row r="21" ht="24" customHeight="1">
      <c r="A21" s="6" t="n">
        <v>17</v>
      </c>
      <c r="B21" s="6" t="inlineStr">
        <is>
          <t>자동 단열커튼</t>
        </is>
      </c>
      <c r="C21" s="7" t="inlineStr">
        <is>
          <t>Control Panel &amp; Sensors</t>
        </is>
      </c>
      <c r="D21" s="6" t="inlineStr">
        <is>
          <t>풍하중/적설/조도 센서 연동</t>
        </is>
      </c>
      <c r="E21" s="6" t="n">
        <v>1</v>
      </c>
      <c r="F21" s="6" t="inlineStr">
        <is>
          <t>Set</t>
        </is>
      </c>
      <c r="G21" s="6" t="inlineStr">
        <is>
          <t>스마트 PLC 및 릴레이 제어반</t>
        </is>
      </c>
      <c r="H21" s="12" t="n">
        <v>1800000</v>
      </c>
      <c r="I21" s="12">
        <f>E21*H21</f>
        <v/>
      </c>
    </row>
    <row r="22" ht="24" customHeight="1">
      <c r="A22" s="8" t="n">
        <v>18</v>
      </c>
      <c r="B22" s="8" t="inlineStr">
        <is>
          <t>토목 및 시공</t>
        </is>
      </c>
      <c r="C22" s="9" t="inlineStr">
        <is>
          <t>기단 콘크리트 및 하부 앵커</t>
        </is>
      </c>
      <c r="D22" s="8" t="inlineStr">
        <is>
          <t>터파기, 철근배근, 레미콘 타설</t>
        </is>
      </c>
      <c r="E22" s="8" t="n">
        <v>1</v>
      </c>
      <c r="F22" s="8" t="inlineStr">
        <is>
          <t>식</t>
        </is>
      </c>
      <c r="G22" s="8" t="inlineStr">
        <is>
          <t>콘크리트 25-24-150 / M16 앵커</t>
        </is>
      </c>
      <c r="H22" s="13" t="n">
        <v>8500000</v>
      </c>
      <c r="I22" s="13">
        <f>E22*H22</f>
        <v/>
      </c>
    </row>
    <row r="23" ht="24" customHeight="1">
      <c r="A23" s="6" t="n">
        <v>19</v>
      </c>
      <c r="B23" s="6" t="inlineStr">
        <is>
          <t>토목 및 시공</t>
        </is>
      </c>
      <c r="C23" s="7" t="inlineStr">
        <is>
          <t>장비 임대 및 기술지원</t>
        </is>
      </c>
      <c r="D23" s="6" t="inlineStr">
        <is>
          <t>미니 크레인 및 기술 지도 검수</t>
        </is>
      </c>
      <c r="E23" s="6" t="n">
        <v>1</v>
      </c>
      <c r="F23" s="6" t="inlineStr">
        <is>
          <t>식</t>
        </is>
      </c>
      <c r="G23" s="6" t="inlineStr">
        <is>
          <t>인양 크레인 3일 및 현장 감리</t>
        </is>
      </c>
      <c r="H23" s="12" t="n">
        <v>9500000</v>
      </c>
      <c r="I23" s="12">
        <f>E23*H23</f>
        <v/>
      </c>
    </row>
    <row r="24" ht="28" customHeight="1">
      <c r="A24" s="14" t="inlineStr">
        <is>
          <t>공급가액 소계 (Supply Subtotal)</t>
        </is>
      </c>
      <c r="B24" s="15" t="n"/>
      <c r="C24" s="15" t="n"/>
      <c r="D24" s="15" t="n"/>
      <c r="E24" s="15" t="n"/>
      <c r="F24" s="15" t="n"/>
      <c r="G24" s="15" t="n"/>
      <c r="H24" s="15" t="inlineStr"/>
      <c r="I24" s="16">
        <f>SUM(I5:I23)</f>
        <v/>
      </c>
    </row>
    <row r="25" ht="24" customHeight="1">
      <c r="A25" s="17" t="inlineStr">
        <is>
          <t>부가가치세 (VAT 10%)</t>
        </is>
      </c>
      <c r="B25" s="18" t="n"/>
      <c r="C25" s="18" t="n"/>
      <c r="D25" s="18" t="n"/>
      <c r="E25" s="18" t="n"/>
      <c r="F25" s="18" t="n"/>
      <c r="G25" s="18" t="n"/>
      <c r="H25" s="18" t="n"/>
      <c r="I25" s="12">
        <f>I24*0.1</f>
        <v/>
      </c>
    </row>
    <row r="26" ht="28" customHeight="1">
      <c r="A26" s="19" t="inlineStr">
        <is>
          <t>종합 견적 합계 금액 (Grand Total - 부가세 포함)</t>
        </is>
      </c>
      <c r="B26" s="15" t="n"/>
      <c r="C26" s="15" t="n"/>
      <c r="D26" s="15" t="n"/>
      <c r="E26" s="15" t="n"/>
      <c r="F26" s="15" t="n"/>
      <c r="G26" s="15" t="n"/>
      <c r="H26" s="15" t="n"/>
      <c r="I26" s="20">
        <f>I24+I25</f>
        <v/>
      </c>
    </row>
    <row r="27"/>
    <row r="28">
      <c r="A28" s="3" t="inlineStr">
        <is>
          <t>[ 납품 조건 및 특약 사항 ]</t>
        </is>
      </c>
    </row>
    <row r="29">
      <c r="A29" s="21" t="inlineStr">
        <is>
          <t>1) 지불 조건: 기성금 방식 적용 (계약시 50% 자재 조달 가공 / 시공 준공 완료시 50% 현장검수 후 잔금 지급)</t>
        </is>
      </c>
    </row>
    <row r="30">
      <c r="A30" s="21" t="inlineStr">
        <is>
          <t>2) 납품 기한: 계약 체결 후 영업일 기준 40일 이내 완공 (이중 구조 아노다이징 프로파일 및 전동 모터 정밀 제어 셋업)</t>
        </is>
      </c>
    </row>
    <row r="31">
      <c r="A31" s="21" t="inlineStr">
        <is>
          <t>3) 품질 보증: 준공 완료일로부터 3년간 무상 보증 (Epdm 방수 가스켓 내후성 및 롤업 커튼 모터 기어 토크 포함)</t>
        </is>
      </c>
    </row>
  </sheetData>
  <mergeCells count="5">
    <mergeCell ref="A26:H26"/>
    <mergeCell ref="A2:I2"/>
    <mergeCell ref="A25:H25"/>
    <mergeCell ref="A1:I1"/>
    <mergeCell ref="A24:G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2" customWidth="1" min="4" max="4"/>
    <col width="60" customWidth="1" min="5" max="5"/>
    <col width="26" customWidth="1" min="6" max="6"/>
  </cols>
  <sheetData>
    <row r="1" ht="45" customHeight="1">
      <c r="A1" s="1" t="inlineStr">
        <is>
          <t>이중 겹 구조 육각형 돔 시공 및 품질검수 체크리스트</t>
        </is>
      </c>
    </row>
    <row r="2"/>
    <row r="3" ht="28" customHeight="1">
      <c r="A3" s="10" t="inlineStr">
        <is>
          <t>번호</t>
        </is>
      </c>
      <c r="B3" s="10" t="inlineStr">
        <is>
          <t>공정 구분</t>
        </is>
      </c>
      <c r="C3" s="10" t="inlineStr">
        <is>
          <t>검수 항목</t>
        </is>
      </c>
      <c r="D3" s="10" t="inlineStr">
        <is>
          <t>확인 및 체크</t>
        </is>
      </c>
      <c r="E3" s="10" t="inlineStr">
        <is>
          <t>시공 세부 지침 및 검수/판정 기준</t>
        </is>
      </c>
      <c r="F3" s="10" t="inlineStr">
        <is>
          <t>JPG 도면 참조</t>
        </is>
      </c>
    </row>
    <row r="4" ht="42" customHeight="1">
      <c r="A4" s="8" t="inlineStr">
        <is>
          <t>1</t>
        </is>
      </c>
      <c r="B4" s="8" t="inlineStr">
        <is>
          <t>자재 검수</t>
        </is>
      </c>
      <c r="C4" s="9" t="inlineStr">
        <is>
          <t>알루미늄 프로파일 피막 상태 검사</t>
        </is>
      </c>
      <c r="D4" s="8" t="inlineStr">
        <is>
          <t>[  ]</t>
        </is>
      </c>
      <c r="E4" s="9" t="inlineStr">
        <is>
          <t>Inner Strut용 AL 6061-T6 자재의 표면 아노다이징 피막 두께가 규격(20㎛ 이상)에 부합하는지 두께 측정기로 표면 실측</t>
        </is>
      </c>
      <c r="F4" s="8" t="inlineStr">
        <is>
          <t>double_layered_dome_detail.jpg</t>
        </is>
      </c>
    </row>
    <row r="5" ht="42" customHeight="1">
      <c r="A5" s="6" t="inlineStr">
        <is>
          <t>2</t>
        </is>
      </c>
      <c r="B5" s="6" t="inlineStr">
        <is>
          <t>자재 검수</t>
        </is>
      </c>
      <c r="C5" s="7" t="inlineStr">
        <is>
          <t>유리 균열 및 Low-E 코팅 체크</t>
        </is>
      </c>
      <c r="D5" s="6" t="inlineStr">
        <is>
          <t>[  ]</t>
        </is>
      </c>
      <c r="E5" s="7" t="inlineStr">
        <is>
          <t>반입된 복층안전유리(24t) 표면에 워터젯 가공 균열이 없는지 검사하고 Low-E 코팅 방향이 실내측을 향하도록 지정 확인</t>
        </is>
      </c>
      <c r="F5" s="6" t="inlineStr">
        <is>
          <t>double_layered_dome_detail.jpg</t>
        </is>
      </c>
    </row>
    <row r="6" ht="42" customHeight="1">
      <c r="A6" s="8" t="inlineStr">
        <is>
          <t>3</t>
        </is>
      </c>
      <c r="B6" s="8" t="inlineStr">
        <is>
          <t>자재 검수</t>
        </is>
      </c>
      <c r="C6" s="9" t="inlineStr">
        <is>
          <t>스페이서 테플론 패드 완비 확인</t>
        </is>
      </c>
      <c r="D6" s="8" t="inlineStr">
        <is>
          <t>[  ]</t>
        </is>
      </c>
      <c r="E6" s="9" t="inlineStr">
        <is>
          <t>금속의 열전달을 차단하기 위한 5.0t 테플론 단열 가스켓이 총 165개 수량에 맞춰 전량 준비되었는지 전수 체크</t>
        </is>
      </c>
      <c r="F6" s="8" t="inlineStr">
        <is>
          <t>double_layered_dome_detail.jpg</t>
        </is>
      </c>
    </row>
    <row r="7" ht="42" customHeight="1">
      <c r="A7" s="6" t="inlineStr">
        <is>
          <t>4</t>
        </is>
      </c>
      <c r="B7" s="6" t="inlineStr">
        <is>
          <t>자재 검수</t>
        </is>
      </c>
      <c r="C7" s="7" t="inlineStr">
        <is>
          <t>윈치 모터 기어 무부하 구동 테스트</t>
        </is>
      </c>
      <c r="D7" s="6" t="inlineStr">
        <is>
          <t>[  ]</t>
        </is>
      </c>
      <c r="E7" s="7" t="inlineStr">
        <is>
          <t>IP66 등급 롤업 튜블러 모터(6개)에 전원을 가해 이음, 진동, 전류 과부하 없이 작동하는지 무부하 조건에서 사전 테스트 실행</t>
        </is>
      </c>
      <c r="F7" s="6" t="inlineStr">
        <is>
          <t>-</t>
        </is>
      </c>
    </row>
    <row r="8" ht="42" customHeight="1">
      <c r="A8" s="8" t="inlineStr">
        <is>
          <t>5</t>
        </is>
      </c>
      <c r="B8" s="8" t="inlineStr">
        <is>
          <t>기초 토목</t>
        </is>
      </c>
      <c r="C8" s="9" t="inlineStr">
        <is>
          <t>콘크리트 링 기초 수평도 정밀 검측</t>
        </is>
      </c>
      <c r="D8" s="8" t="inlineStr">
        <is>
          <t>[  ]</t>
        </is>
      </c>
      <c r="E8" s="9" t="inlineStr">
        <is>
          <t>레이저 레벨기를 이용하여 타설 완료된 하부 원형 테두리 콘크리트 보의 상단 수평 오차가 10m 구간에서 ±3mm 이내인지 계측</t>
        </is>
      </c>
      <c r="F8" s="8" t="inlineStr">
        <is>
          <t>double_layered_dome_assembly.jpg</t>
        </is>
      </c>
    </row>
    <row r="9" ht="42" customHeight="1">
      <c r="A9" s="6" t="inlineStr">
        <is>
          <t>6</t>
        </is>
      </c>
      <c r="B9" s="6" t="inlineStr">
        <is>
          <t>기초 토목</t>
        </is>
      </c>
      <c r="C9" s="7" t="inlineStr">
        <is>
          <t>하부 앵커 플레이트 식립 오차 측정</t>
        </is>
      </c>
      <c r="D9" s="6" t="inlineStr">
        <is>
          <t>[  ]</t>
        </is>
      </c>
      <c r="E9" s="7" t="inlineStr">
        <is>
          <t>M16 고하중 SUS304 앵커 플레이트 볼트 위치의 반경 방향 치수 공차가 ±2.0mm 이내인지 전용 조립 지그를 대어 공차 판별</t>
        </is>
      </c>
      <c r="F9" s="6" t="inlineStr">
        <is>
          <t>double_layered_dome_assembly.jpg</t>
        </is>
      </c>
    </row>
    <row r="10" ht="42" customHeight="1">
      <c r="A10" s="8" t="inlineStr">
        <is>
          <t>7</t>
        </is>
      </c>
      <c r="B10" s="8" t="inlineStr">
        <is>
          <t>기초 토목</t>
        </is>
      </c>
      <c r="C10" s="9" t="inlineStr">
        <is>
          <t>기단부 방습 시트 포설 상태 검사</t>
        </is>
      </c>
      <c r="D10" s="8" t="inlineStr">
        <is>
          <t>[  ]</t>
        </is>
      </c>
      <c r="E10" s="9" t="inlineStr">
        <is>
          <t>콘크리트 기단 상면과 하부 Bottom Sill 목재 결합 부위에 지반 습기 전이를 차단하는 아스팔트 실러 및 실크를 포설했는지 확인</t>
        </is>
      </c>
      <c r="F10" s="8" t="inlineStr">
        <is>
          <t>double_layered_dome_assembly.jpg</t>
        </is>
      </c>
    </row>
    <row r="11" ht="42" customHeight="1">
      <c r="A11" s="6" t="inlineStr">
        <is>
          <t>8</t>
        </is>
      </c>
      <c r="B11" s="6" t="inlineStr">
        <is>
          <t>골조 조립</t>
        </is>
      </c>
      <c r="C11" s="7" t="inlineStr">
        <is>
          <t>볼트/너트 정밀 토크 체결 공법</t>
        </is>
      </c>
      <c r="D11" s="6" t="inlineStr">
        <is>
          <t>[  ]</t>
        </is>
      </c>
      <c r="E11" s="7" t="inlineStr">
        <is>
          <t>M12 고장력 볼트와 나일론 풀림방지 너트를 체결할 때 토크렌치를 이용해 정격 토크인 85 N·m 스펙으로 완벽히 결합했는지 측정</t>
        </is>
      </c>
      <c r="F11" s="6" t="inlineStr">
        <is>
          <t>double_layered_dome_detail.jpg</t>
        </is>
      </c>
    </row>
    <row r="12" ht="42" customHeight="1">
      <c r="A12" s="8" t="inlineStr">
        <is>
          <t>9</t>
        </is>
      </c>
      <c r="B12" s="8" t="inlineStr">
        <is>
          <t>골조 조립</t>
        </is>
      </c>
      <c r="C12" s="9" t="inlineStr">
        <is>
          <t>열교 방지 절연 테플론 패드 가설</t>
        </is>
      </c>
      <c r="D12" s="8" t="inlineStr">
        <is>
          <t>[  ]</t>
        </is>
      </c>
      <c r="E12" s="9" t="inlineStr">
        <is>
          <t>내측 목재 허브 플레이트와 스페이서 브라켓 결합 볼트 관통 홀에 테플론 링 가스켓이 누락 없이 끼워졌는지 육안 검사</t>
        </is>
      </c>
      <c r="F12" s="8" t="inlineStr">
        <is>
          <t>double_layered_dome_detail.jpg</t>
        </is>
      </c>
    </row>
    <row r="13" ht="42" customHeight="1">
      <c r="A13" s="6" t="inlineStr">
        <is>
          <t>10</t>
        </is>
      </c>
      <c r="B13" s="6" t="inlineStr">
        <is>
          <t>골조 조립</t>
        </is>
      </c>
      <c r="C13" s="7" t="inlineStr">
        <is>
          <t>스페이서 브라켓 3차원 정렬 상태</t>
        </is>
      </c>
      <c r="D13" s="6" t="inlineStr">
        <is>
          <t>[  ]</t>
        </is>
      </c>
      <c r="E13" s="7" t="inlineStr">
        <is>
          <t>165개의 단열 공기층 스페이서 브라켓 돌출 각도가 돔의 구형 중심선(Radial Line)과 평행하게 정렬되어 곡률을 유지하는지 체크</t>
        </is>
      </c>
      <c r="F13" s="6" t="inlineStr">
        <is>
          <t>double_layered_dome_assembly.jpg</t>
        </is>
      </c>
    </row>
    <row r="14" ht="42" customHeight="1">
      <c r="A14" s="8" t="inlineStr">
        <is>
          <t>11</t>
        </is>
      </c>
      <c r="B14" s="8" t="inlineStr">
        <is>
          <t>외벽 조립</t>
        </is>
      </c>
      <c r="C14" s="9" t="inlineStr">
        <is>
          <t>유리 세팅 블록 배치 및 유격 확보</t>
        </is>
      </c>
      <c r="D14" s="8" t="inlineStr">
        <is>
          <t>[  ]</t>
        </is>
      </c>
      <c r="E14" s="9" t="inlineStr">
        <is>
          <t>유리와 외부 프레임 접점 틈새에 고밀도 연질 세팅 블록을 좌우 4.0mm 간격으로 배치하여 열팽창에 의한 응력 집중 파손 예방</t>
        </is>
      </c>
      <c r="F14" s="8" t="inlineStr">
        <is>
          <t>double_layered_dome_detail.jpg</t>
        </is>
      </c>
    </row>
    <row r="15" ht="42" customHeight="1">
      <c r="A15" s="6" t="inlineStr">
        <is>
          <t>12</t>
        </is>
      </c>
      <c r="B15" s="6" t="inlineStr">
        <is>
          <t>외벽 조립</t>
        </is>
      </c>
      <c r="C15" s="7" t="inlineStr">
        <is>
          <t>EPDM 수밀 가스켓 가압 시공 검수</t>
        </is>
      </c>
      <c r="D15" s="6" t="inlineStr">
        <is>
          <t>[  ]</t>
        </is>
      </c>
      <c r="E15" s="7" t="inlineStr">
        <is>
          <t xml:space="preserve"> EP-러버 가스켓이 늘어지거나 꼬이지 않도록 1.5% 수준의 인장력을 주어 밀착 삽입하고 삼각 코너 결합부가 완전 밀착되었는지 점검</t>
        </is>
      </c>
      <c r="F15" s="6" t="inlineStr">
        <is>
          <t>double_layered_dome_detail.jpg</t>
        </is>
      </c>
    </row>
    <row r="16" ht="42" customHeight="1">
      <c r="A16" s="8" t="inlineStr">
        <is>
          <t>13</t>
        </is>
      </c>
      <c r="B16" s="8" t="inlineStr">
        <is>
          <t>외벽 조립</t>
        </is>
      </c>
      <c r="C16" s="9" t="inlineStr">
        <is>
          <t>구조용 실란트 웨더 실 충진 규격</t>
        </is>
      </c>
      <c r="D16" s="8" t="inlineStr">
        <is>
          <t>[  ]</t>
        </is>
      </c>
      <c r="E16" s="9" t="inlineStr">
        <is>
          <t>코킹 깊이 5.0t 이상, 폭 8.0mm 이상 일정하게 다우코닝 791 실리콘 씰을 충진하고 요철 없이 평평하게 헤라 마감 처리를 완료했는지 검사</t>
        </is>
      </c>
      <c r="F16" s="8" t="inlineStr">
        <is>
          <t>double_layered_dome_detail.jpg</t>
        </is>
      </c>
    </row>
    <row r="17" ht="42" customHeight="1">
      <c r="A17" s="6" t="inlineStr">
        <is>
          <t>14</t>
        </is>
      </c>
      <c r="B17" s="6" t="inlineStr">
        <is>
          <t>결로 제어</t>
        </is>
      </c>
      <c r="C17" s="7" t="inlineStr">
        <is>
          <t>공기층 배수 드레인 패스 물구멍</t>
        </is>
      </c>
      <c r="D17" s="6" t="inlineStr">
        <is>
          <t>[  ]</t>
        </is>
      </c>
      <c r="E17" s="7" t="inlineStr">
        <is>
          <t>외피 내부로 고이는 응축수가 외부로 배출되도록 각 프레임 셀 하단에 개설된 배수구(Ø8mm 2개소씩)의 물 흐름 성능 테스트 통과 여부</t>
        </is>
      </c>
      <c r="F17" s="6" t="inlineStr">
        <is>
          <t>double_layered_dome_detail.jpg</t>
        </is>
      </c>
    </row>
    <row r="18" ht="42" customHeight="1">
      <c r="A18" s="8" t="inlineStr">
        <is>
          <t>15</t>
        </is>
      </c>
      <c r="B18" s="8" t="inlineStr">
        <is>
          <t>결로 제어</t>
        </is>
      </c>
      <c r="C18" s="9" t="inlineStr">
        <is>
          <t>Breather 환기 밸브 EPDM 씰링</t>
        </is>
      </c>
      <c r="D18" s="8" t="inlineStr">
        <is>
          <t>[  ]</t>
        </is>
      </c>
      <c r="E18" s="9" t="inlineStr">
        <is>
          <t>공기층 상하부 6개소에 습기 흡습용 통기 제어 밸브(Breather Valve)가 틈새 없이 수밀 가스켓 처리되어 부착되었는지 밸브 개폐 검사</t>
        </is>
      </c>
      <c r="F18" s="8" t="inlineStr">
        <is>
          <t>double_layered_dome_detail.jpg</t>
        </is>
      </c>
    </row>
    <row r="19" ht="42" customHeight="1">
      <c r="A19" s="6" t="inlineStr">
        <is>
          <t>16</t>
        </is>
      </c>
      <c r="B19" s="6" t="inlineStr">
        <is>
          <t>커튼 시운전</t>
        </is>
      </c>
      <c r="C19" s="7" t="inlineStr">
        <is>
          <t>가이드 레일 곡률 평행 공차 정렬</t>
        </is>
      </c>
      <c r="D19" s="6" t="inlineStr">
        <is>
          <t>[  ]</t>
        </is>
      </c>
      <c r="E19" s="7" t="inlineStr">
        <is>
          <t>돔 외면에 고정된 12라인의 알루미늄 곡선 레일 간격이 시작점부터 끝단까지 평행 상태(공차 ±2.0mm 이내)를 조율 유지하는지 검사</t>
        </is>
      </c>
      <c r="F19" s="6" t="inlineStr">
        <is>
          <t>double_layered_dome_3d.jpg</t>
        </is>
      </c>
    </row>
    <row r="20" ht="42" customHeight="1">
      <c r="A20" s="8" t="inlineStr">
        <is>
          <t>17</t>
        </is>
      </c>
      <c r="B20" s="8" t="inlineStr">
        <is>
          <t>커튼 시운전</t>
        </is>
      </c>
      <c r="C20" s="9" t="inlineStr">
        <is>
          <t>윈치 롤러 모터 리미트 세팅 상태</t>
        </is>
      </c>
      <c r="D20" s="8" t="inlineStr">
        <is>
          <t>[  ]</t>
        </is>
      </c>
      <c r="E20" s="9" t="inlineStr">
        <is>
          <t>커튼 원단이 완전히 풀려 돔을 덮었을 때와 모터 롤러에 감겨 최상단에 회수되었을 때 모터 스위치가 정상 시점에 기어 락으로 멈추는지 점검</t>
        </is>
      </c>
      <c r="F20" s="8" t="inlineStr">
        <is>
          <t>double_layered_dome_3d.jpg</t>
        </is>
      </c>
    </row>
    <row r="21" ht="42" customHeight="1">
      <c r="A21" s="6" t="inlineStr">
        <is>
          <t>18</t>
        </is>
      </c>
      <c r="B21" s="6" t="inlineStr">
        <is>
          <t>커튼 시운전</t>
        </is>
      </c>
      <c r="C21" s="7" t="inlineStr">
        <is>
          <t>과부하 전류 차단 감도 및 복원력</t>
        </is>
      </c>
      <c r="D21" s="6" t="inlineStr">
        <is>
          <t>[  ]</t>
        </is>
      </c>
      <c r="E21" s="7" t="inlineStr">
        <is>
          <t>이물질 걸림이나 강풍으로 기어에 부하 발생 시 모터 컨트롤러 릴레이가 0.5초 이내에 작동하여 전력을 차단하는지 강제 과부하 테스트</t>
        </is>
      </c>
      <c r="F21" s="6" t="inlineStr">
        <is>
          <t>double_layered_dome_3d.jpg</t>
        </is>
      </c>
    </row>
    <row r="22" ht="42" customHeight="1">
      <c r="A22" s="8" t="inlineStr">
        <is>
          <t>19</t>
        </is>
      </c>
      <c r="B22" s="8" t="inlineStr">
        <is>
          <t>커튼 시운전</t>
        </is>
      </c>
      <c r="C22" s="9" t="inlineStr">
        <is>
          <t>기후 센서 PLC 자동 구동 시나리오</t>
        </is>
      </c>
      <c r="D22" s="8" t="inlineStr">
        <is>
          <t>[  ]</t>
        </is>
      </c>
      <c r="E22" s="9" t="inlineStr">
        <is>
          <t>기단 풍속 센서(20m/s 이상 강제 권취) 및 적설 센서(50kg/m² 이상 회수) 감지 시 프로그램에 의해 자동 대피 모드로 구동하는지 최종 모의 검수</t>
        </is>
      </c>
      <c r="F22" s="8" t="inlineStr">
        <is>
          <t>double_layered_dome_3d.jpg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38" customWidth="1" min="4" max="4"/>
    <col width="48" customWidth="1" min="5" max="5"/>
  </cols>
  <sheetData>
    <row r="1" ht="45" customHeight="1">
      <c r="A1" s="1" t="inlineStr">
        <is>
          <t>이중 구조 육각형 돔 시공 및 조립 유의사항 (경고 및 지침)</t>
        </is>
      </c>
    </row>
    <row r="2"/>
    <row r="3" ht="28" customHeight="1">
      <c r="A3" s="10" t="inlineStr">
        <is>
          <t>경고 분야</t>
        </is>
      </c>
      <c r="B3" s="10" t="inlineStr">
        <is>
          <t>구분 등급</t>
        </is>
      </c>
      <c r="C3" s="10" t="inlineStr">
        <is>
          <t>시공 하자 현상 (경고)</t>
        </is>
      </c>
      <c r="D3" s="10" t="inlineStr">
        <is>
          <t>하자 발생 주요 원인</t>
        </is>
      </c>
      <c r="E3" s="10" t="inlineStr">
        <is>
          <t>방지 시공 표준 기술 지침 (필수 준수)</t>
        </is>
      </c>
    </row>
    <row r="4" ht="68" customHeight="1">
      <c r="A4" s="22" t="inlineStr">
        <is>
          <t>열교 현상 (Thermal Bridge)</t>
        </is>
      </c>
      <c r="B4" s="23" t="inlineStr">
        <is>
          <t>WARNING</t>
        </is>
      </c>
      <c r="C4" s="9" t="inlineStr">
        <is>
          <t>철근 콘크리트 기단 및 조인트 금속 허브 주변 실내 벽면에 이슬이 맺히고 단열 성능이 저하되는 현상 발생</t>
        </is>
      </c>
      <c r="D4" s="9" t="inlineStr">
        <is>
          <t>내벽 골조의 스타허브와 외벽을 결속하는 L형 스페이서 브라켓이 기밀 테플론 가스켓 없이 직접 금속 직결 체결될 경우 열 손실 통로 역할</t>
        </is>
      </c>
      <c r="E4" s="9" t="inlineStr">
        <is>
          <t>스페이서 브라켓 고정 시 반드시 5.0t 고밀도 테플론 패드를 볼트 관통부에 끼워 내·외벽 골조 금속 직접 접촉을 차단하고 팽창 우레탄 폼으로 틈새 밀폐</t>
        </is>
      </c>
    </row>
    <row r="5" ht="68" customHeight="1">
      <c r="A5" s="24" t="inlineStr">
        <is>
          <t>내부 결로 (Condensation)</t>
        </is>
      </c>
      <c r="B5" s="23" t="inlineStr">
        <is>
          <t>IMPORTANT</t>
        </is>
      </c>
      <c r="C5" s="7" t="inlineStr">
        <is>
          <t>겨울철 영하 외부 한기와 실내 온실 습기 교차로 120mm 공기층 벽체 내부에 응축수 발생, 목재 프레임 부식 유발</t>
        </is>
      </c>
      <c r="D5" s="7" t="inlineStr">
        <is>
          <t>공기층 내부 기밀성이 떨어지거나 응축수를 외부로 배수해 주는 하부 드레인 패스 구멍이 이물질에 의해 막히거나 구배 경사가 평평할 때</t>
        </is>
      </c>
      <c r="E5" s="7" t="inlineStr">
        <is>
          <t>유리를 타고 모인 응축수가 고이지 않도록 하부 알루미늄 배수 바 경사를 1% 이상 확보하고 외벽 캡 하단에 가습용 환기 브리더 밸브 6개 설치</t>
        </is>
      </c>
    </row>
    <row r="6" ht="68" customHeight="1">
      <c r="A6" s="22" t="inlineStr">
        <is>
          <t>곡선 레일 걸림 (Rail Jamming)</t>
        </is>
      </c>
      <c r="B6" s="23" t="inlineStr">
        <is>
          <t>CAUTION</t>
        </is>
      </c>
      <c r="C6" s="9" t="inlineStr">
        <is>
          <t>외부 롤업 전동 단열 커튼 작동 시 모터에 과부하가 걸려 기어가 마모되거나 3중 스크린 천막 원단이 비틀리며 찢어지는 사고 발생</t>
        </is>
      </c>
      <c r="D6" s="9" t="inlineStr">
        <is>
          <t>돔 외면 곡선(R=5,000)을 따라 가이드 레일을 조립할 때 3D 레이저 레벨로 정렬하지 않아 상단과 하단의 양 레일 폭 간격 오차가 ±3mm를 초과할 때</t>
        </is>
      </c>
      <c r="E6" s="9" t="inlineStr">
        <is>
          <t>레일 가설 시 돔 중심축에서 방사상 거리를 마이크로미터로 정밀 측정하여 레일 간 평행 폭 오차를 ±1.0m 이내로 엄격히 관리하고 구동 가이드 롤러에 윤활 그리팅 도포</t>
        </is>
      </c>
    </row>
    <row r="7" ht="68" customHeight="1">
      <c r="A7" s="24" t="inlineStr">
        <is>
          <t>기상 하중 이탈 (Sensors Alert)</t>
        </is>
      </c>
      <c r="B7" s="23" t="inlineStr">
        <is>
          <t>IMPORTANT</t>
        </is>
      </c>
      <c r="C7" s="7" t="inlineStr">
        <is>
          <t>겨울철 기습적 대설 시 지붕 적설 하중에 의해 커튼 롤링 파이프가 휠 방지 조치를 상실해 주저앉거나, 태풍 시 커튼 천막이 풍압으로 박리</t>
        </is>
      </c>
      <c r="D7" s="7" t="inlineStr">
        <is>
          <t>적설 하중(50kg/m² 이상) 또는 태풍 돌풍(20m/s 이상)이 부는데도 단열 커튼을 권취(회수)하지 않고 외부 차폐 모드로 계속 열어 두었을 때</t>
        </is>
      </c>
      <c r="E7" s="7" t="inlineStr">
        <is>
          <t>돔 지붕 중앙 허브 정점부에 풍하중 센서와 적설 하중 센서를 필수 설치하고, 센서 연동 스마트 PLC 제어반 셋팅을 통해 기상 경보 시 커튼을 0.5초 이내에 완전 회수하도록 강제 자동화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2026-05-30T01:10:32Z</dcterms:created>
  <dcterms:modified xsi:type="dcterms:W3CDTF">2026-05-30T01:10:32Z</dcterms:modified>
</cp:coreProperties>
</file>