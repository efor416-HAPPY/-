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육각 목재 비닐하우스 부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8">
    <font>
      <name val="Calibri"/>
      <family val="2"/>
      <color theme="1"/>
      <sz val="11"/>
      <scheme val="minor"/>
    </font>
    <font>
      <name val="맑은 고딕"/>
      <b val="1"/>
      <color rgb="002C5E3B"/>
      <sz val="16"/>
    </font>
    <font>
      <name val="맑은 고딕"/>
      <i val="1"/>
      <color rgb="00555555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  <font>
      <name val="맑은 고딕"/>
      <b val="1"/>
      <color rgb="00000000"/>
      <sz val="10"/>
    </font>
    <font>
      <name val="맑은 고딕"/>
      <b val="1"/>
      <color rgb="008B0000"/>
      <sz val="11"/>
    </font>
  </fonts>
  <fills count="5">
    <fill>
      <patternFill/>
    </fill>
    <fill>
      <patternFill patternType="gray125"/>
    </fill>
    <fill>
      <patternFill patternType="solid">
        <fgColor rgb="002C5E3B"/>
        <bgColor rgb="002C5E3B"/>
      </patternFill>
    </fill>
    <fill>
      <patternFill patternType="solid">
        <fgColor rgb="00F2F7F3"/>
        <bgColor rgb="00F2F7F3"/>
      </patternFill>
    </fill>
    <fill>
      <patternFill patternType="solid">
        <fgColor rgb="00E6EFEA"/>
        <bgColor rgb="00E6EFE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164" fontId="6" fillId="4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7" fillId="4" borderId="2" applyAlignment="1" pivotButton="0" quotePrefix="0" xfId="0">
      <alignment horizontal="right" vertical="center" wrapText="1"/>
    </xf>
    <xf numFmtId="164" fontId="7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25" customWidth="1" min="4" max="4"/>
    <col width="10" customWidth="1" min="5" max="5"/>
    <col width="10" customWidth="1" min="6" max="6"/>
    <col width="22" customWidth="1" min="7" max="7"/>
    <col width="12" customWidth="1" min="8" max="8"/>
    <col width="12" customWidth="1" min="9" max="9"/>
  </cols>
  <sheetData>
    <row r="1" ht="40" customHeight="1">
      <c r="A1" s="1" t="inlineStr">
        <is>
          <t>육각형 목재 비닐하우스 정밀 부품 목록 및 견적 (Hexagonal Wooden Greenhouse)</t>
        </is>
      </c>
    </row>
    <row r="2" ht="20" customHeight="1">
      <c r="A2" s="2" t="inlineStr">
        <is>
          <t>* 구조 규격: 외경 6.0m (반경 3.0m), 지상 기둥 높이 2.4m, 육각 지붕 정점 높이 3.2m / 주요 자재: 미송 방부목(H3 등급) 및 0.15mm PO 방무 비닐 피복</t>
        </is>
      </c>
    </row>
    <row r="3"/>
    <row r="4" ht="28" customHeight="1">
      <c r="A4" s="3" t="inlineStr">
        <is>
          <t>순번</t>
        </is>
      </c>
      <c r="B4" s="3" t="inlineStr">
        <is>
          <t>자재 분류</t>
        </is>
      </c>
      <c r="C4" s="3" t="inlineStr">
        <is>
          <t>부품명</t>
        </is>
      </c>
      <c r="D4" s="3" t="inlineStr">
        <is>
          <t>상세 규격(mm/t/외)</t>
        </is>
      </c>
      <c r="E4" s="3" t="inlineStr">
        <is>
          <t>수량</t>
        </is>
      </c>
      <c r="F4" s="3" t="inlineStr">
        <is>
          <t>단위</t>
        </is>
      </c>
      <c r="G4" s="3" t="inlineStr">
        <is>
          <t>재질</t>
        </is>
      </c>
      <c r="H4" s="3" t="inlineStr">
        <is>
          <t>예상 단가(KRW)</t>
        </is>
      </c>
      <c r="I4" s="3" t="inlineStr">
        <is>
          <t>예상 금액(KRW)</t>
        </is>
      </c>
    </row>
    <row r="5" ht="24" customHeight="1">
      <c r="A5" s="4" t="n">
        <v>1</v>
      </c>
      <c r="B5" s="4" t="inlineStr">
        <is>
          <t>구조재</t>
        </is>
      </c>
      <c r="C5" s="5" t="inlineStr">
        <is>
          <t>메인 기둥 (Post)</t>
        </is>
      </c>
      <c r="D5" s="4" t="inlineStr">
        <is>
          <t>90 x 90 x 2,400</t>
        </is>
      </c>
      <c r="E5" s="4" t="n">
        <v>6</v>
      </c>
      <c r="F5" s="4" t="inlineStr">
        <is>
          <t>EA</t>
        </is>
      </c>
      <c r="G5" s="4" t="inlineStr">
        <is>
          <t>낙엽송 방부목 (H3)</t>
        </is>
      </c>
      <c r="H5" s="6" t="n">
        <v>45000</v>
      </c>
      <c r="I5" s="6">
        <f>E5*H5</f>
        <v/>
      </c>
    </row>
    <row r="6" ht="24" customHeight="1">
      <c r="A6" s="7" t="n">
        <v>2</v>
      </c>
      <c r="B6" s="7" t="inlineStr">
        <is>
          <t>구조재</t>
        </is>
      </c>
      <c r="C6" s="8" t="inlineStr">
        <is>
          <t>하부 지름 링 가로대</t>
        </is>
      </c>
      <c r="D6" s="7" t="inlineStr">
        <is>
          <t>38 x 140 x 3,000 (2x6)</t>
        </is>
      </c>
      <c r="E6" s="7" t="n">
        <v>6</v>
      </c>
      <c r="F6" s="7" t="inlineStr">
        <is>
          <t>EA</t>
        </is>
      </c>
      <c r="G6" s="7" t="inlineStr">
        <is>
          <t>미송 방부목 (H3)</t>
        </is>
      </c>
      <c r="H6" s="9" t="n">
        <v>24000</v>
      </c>
      <c r="I6" s="9">
        <f>E6*H6</f>
        <v/>
      </c>
    </row>
    <row r="7" ht="24" customHeight="1">
      <c r="A7" s="4" t="n">
        <v>3</v>
      </c>
      <c r="B7" s="4" t="inlineStr">
        <is>
          <t>구조재</t>
        </is>
      </c>
      <c r="C7" s="5" t="inlineStr">
        <is>
          <t>상부 헤더 가로대</t>
        </is>
      </c>
      <c r="D7" s="4" t="inlineStr">
        <is>
          <t>38 x 140 x 3,000 (2x6)</t>
        </is>
      </c>
      <c r="E7" s="4" t="n">
        <v>6</v>
      </c>
      <c r="F7" s="4" t="inlineStr">
        <is>
          <t>EA</t>
        </is>
      </c>
      <c r="G7" s="4" t="inlineStr">
        <is>
          <t>SPF 구조재</t>
        </is>
      </c>
      <c r="H7" s="6" t="n">
        <v>22000</v>
      </c>
      <c r="I7" s="6">
        <f>E7*H7</f>
        <v/>
      </c>
    </row>
    <row r="8" ht="24" customHeight="1">
      <c r="A8" s="7" t="n">
        <v>4</v>
      </c>
      <c r="B8" s="7" t="inlineStr">
        <is>
          <t>구조재</t>
        </is>
      </c>
      <c r="C8" s="8" t="inlineStr">
        <is>
          <t>지붕 서까래 (Rafter)</t>
        </is>
      </c>
      <c r="D8" s="7" t="inlineStr">
        <is>
          <t>38 x 89 x 3,500 (2x4)</t>
        </is>
      </c>
      <c r="E8" s="7" t="n">
        <v>6</v>
      </c>
      <c r="F8" s="7" t="inlineStr">
        <is>
          <t>EA</t>
        </is>
      </c>
      <c r="G8" s="7" t="inlineStr">
        <is>
          <t>SPF 구조재</t>
        </is>
      </c>
      <c r="H8" s="9" t="n">
        <v>18000</v>
      </c>
      <c r="I8" s="9">
        <f>E8*H8</f>
        <v/>
      </c>
    </row>
    <row r="9" ht="24" customHeight="1">
      <c r="A9" s="4" t="n">
        <v>5</v>
      </c>
      <c r="B9" s="4" t="inlineStr">
        <is>
          <t>구조재</t>
        </is>
      </c>
      <c r="C9" s="5" t="inlineStr">
        <is>
          <t>도어 입구 프레임</t>
        </is>
      </c>
      <c r="D9" s="4" t="inlineStr">
        <is>
          <t>38 x 89 x 2,100 (2x4)</t>
        </is>
      </c>
      <c r="E9" s="4" t="n">
        <v>4</v>
      </c>
      <c r="F9" s="4" t="inlineStr">
        <is>
          <t>EA</t>
        </is>
      </c>
      <c r="G9" s="4" t="inlineStr">
        <is>
          <t>SPF 구조재</t>
        </is>
      </c>
      <c r="H9" s="6" t="n">
        <v>14000</v>
      </c>
      <c r="I9" s="6">
        <f>E9*H9</f>
        <v/>
      </c>
    </row>
    <row r="10" ht="24" customHeight="1">
      <c r="A10" s="7" t="n">
        <v>6</v>
      </c>
      <c r="B10" s="7" t="inlineStr">
        <is>
          <t>구조재</t>
        </is>
      </c>
      <c r="C10" s="8" t="inlineStr">
        <is>
          <t>창문 환기구 프레임</t>
        </is>
      </c>
      <c r="D10" s="7" t="inlineStr">
        <is>
          <t>38 x 38 x 1,200 (2x2)</t>
        </is>
      </c>
      <c r="E10" s="7" t="n">
        <v>12</v>
      </c>
      <c r="F10" s="7" t="inlineStr">
        <is>
          <t>EA</t>
        </is>
      </c>
      <c r="G10" s="7" t="inlineStr">
        <is>
          <t>SPF 구조재</t>
        </is>
      </c>
      <c r="H10" s="9" t="n">
        <v>6000</v>
      </c>
      <c r="I10" s="9">
        <f>E10*H10</f>
        <v/>
      </c>
    </row>
    <row r="11" ht="24" customHeight="1">
      <c r="A11" s="4" t="n">
        <v>7</v>
      </c>
      <c r="B11" s="4" t="inlineStr">
        <is>
          <t>조립 부속</t>
        </is>
      </c>
      <c r="C11" s="5" t="inlineStr">
        <is>
          <t>지붕 센트럴 헥사 허브</t>
        </is>
      </c>
      <c r="D11" s="4" t="inlineStr">
        <is>
          <t>6.0t 두께, 아연도금 마감</t>
        </is>
      </c>
      <c r="E11" s="4" t="n">
        <v>1</v>
      </c>
      <c r="F11" s="4" t="inlineStr">
        <is>
          <t>EA</t>
        </is>
      </c>
      <c r="G11" s="4" t="inlineStr">
        <is>
          <t>SS400 스틸</t>
        </is>
      </c>
      <c r="H11" s="6" t="n">
        <v>120000</v>
      </c>
      <c r="I11" s="6">
        <f>E11*H11</f>
        <v/>
      </c>
    </row>
    <row r="12" ht="24" customHeight="1">
      <c r="A12" s="7" t="n">
        <v>8</v>
      </c>
      <c r="B12" s="7" t="inlineStr">
        <is>
          <t>조립 부속</t>
        </is>
      </c>
      <c r="C12" s="8" t="inlineStr">
        <is>
          <t>포스트 메탈 베이스 (U자)</t>
        </is>
      </c>
      <c r="D12" s="7" t="inlineStr">
        <is>
          <t>90x90용 하부 고정쇠</t>
        </is>
      </c>
      <c r="E12" s="7" t="n">
        <v>6</v>
      </c>
      <c r="F12" s="7" t="inlineStr">
        <is>
          <t>EA</t>
        </is>
      </c>
      <c r="G12" s="7" t="inlineStr">
        <is>
          <t>SUS304 스테인리스</t>
        </is>
      </c>
      <c r="H12" s="9" t="n">
        <v>25000</v>
      </c>
      <c r="I12" s="9">
        <f>E12*H12</f>
        <v/>
      </c>
    </row>
    <row r="13" ht="24" customHeight="1">
      <c r="A13" s="4" t="n">
        <v>9</v>
      </c>
      <c r="B13" s="4" t="inlineStr">
        <is>
          <t>조립 부속</t>
        </is>
      </c>
      <c r="C13" s="5" t="inlineStr">
        <is>
          <t>L형 모서리 보강 브라켓</t>
        </is>
      </c>
      <c r="D13" s="4" t="inlineStr">
        <is>
          <t>80 x 80 x 4.0t</t>
        </is>
      </c>
      <c r="E13" s="4" t="n">
        <v>24</v>
      </c>
      <c r="F13" s="4" t="inlineStr">
        <is>
          <t>EA</t>
        </is>
      </c>
      <c r="G13" s="4" t="inlineStr">
        <is>
          <t>SUS304 스테인리스</t>
        </is>
      </c>
      <c r="H13" s="6" t="n">
        <v>3500</v>
      </c>
      <c r="I13" s="6">
        <f>E13*H13</f>
        <v/>
      </c>
    </row>
    <row r="14" ht="24" customHeight="1">
      <c r="A14" s="7" t="n">
        <v>10</v>
      </c>
      <c r="B14" s="7" t="inlineStr">
        <is>
          <t>조립 부속</t>
        </is>
      </c>
      <c r="C14" s="8" t="inlineStr">
        <is>
          <t>고장력 델타 목재 피스</t>
        </is>
      </c>
      <c r="D14" s="7" t="inlineStr">
        <is>
          <t>직경 5.0 x 길이 75</t>
        </is>
      </c>
      <c r="E14" s="7" t="n">
        <v>1200</v>
      </c>
      <c r="F14" s="7" t="inlineStr">
        <is>
          <t>EA</t>
        </is>
      </c>
      <c r="G14" s="7" t="inlineStr">
        <is>
          <t>아연도금강</t>
        </is>
      </c>
      <c r="H14" s="9" t="n">
        <v>50</v>
      </c>
      <c r="I14" s="9">
        <f>E14*H14</f>
        <v/>
      </c>
    </row>
    <row r="15" ht="24" customHeight="1">
      <c r="A15" s="4" t="n">
        <v>11</v>
      </c>
      <c r="B15" s="4" t="inlineStr">
        <is>
          <t>조립 부속</t>
        </is>
      </c>
      <c r="C15" s="5" t="inlineStr">
        <is>
          <t>셋트 앵커 볼트</t>
        </is>
      </c>
      <c r="D15" s="4" t="inlineStr">
        <is>
          <t>M12 x 100</t>
        </is>
      </c>
      <c r="E15" s="4" t="n">
        <v>12</v>
      </c>
      <c r="F15" s="4" t="inlineStr">
        <is>
          <t>EA</t>
        </is>
      </c>
      <c r="G15" s="4" t="inlineStr">
        <is>
          <t>SUS304 스테인리스</t>
        </is>
      </c>
      <c r="H15" s="6" t="n">
        <v>2500</v>
      </c>
      <c r="I15" s="6">
        <f>E15*H15</f>
        <v/>
      </c>
    </row>
    <row r="16" ht="24" customHeight="1">
      <c r="A16" s="7" t="n">
        <v>12</v>
      </c>
      <c r="B16" s="7" t="inlineStr">
        <is>
          <t>조립 부속</t>
        </is>
      </c>
      <c r="C16" s="8" t="inlineStr">
        <is>
          <t>도어용 힌지 및 시클 잠금장치</t>
        </is>
      </c>
      <c r="D16" s="7" t="inlineStr">
        <is>
          <t>헤비 듀티 타입 락 세트</t>
        </is>
      </c>
      <c r="E16" s="7" t="n">
        <v>1</v>
      </c>
      <c r="F16" s="7" t="inlineStr">
        <is>
          <t>Set</t>
        </is>
      </c>
      <c r="G16" s="7" t="inlineStr">
        <is>
          <t>아연도금강</t>
        </is>
      </c>
      <c r="H16" s="9" t="n">
        <v>35000</v>
      </c>
      <c r="I16" s="9">
        <f>E16*H16</f>
        <v/>
      </c>
    </row>
    <row r="17" ht="24" customHeight="1">
      <c r="A17" s="4" t="n">
        <v>13</v>
      </c>
      <c r="B17" s="4" t="inlineStr">
        <is>
          <t>피복 및 외장</t>
        </is>
      </c>
      <c r="C17" s="5" t="inlineStr">
        <is>
          <t>PO 하우스 광학 비닐</t>
        </is>
      </c>
      <c r="D17" s="4" t="inlineStr">
        <is>
          <t>두께 0.15mm / 폭 10m</t>
        </is>
      </c>
      <c r="E17" s="4" t="n">
        <v>30</v>
      </c>
      <c r="F17" s="4" t="inlineStr">
        <is>
          <t>m</t>
        </is>
      </c>
      <c r="G17" s="4" t="inlineStr">
        <is>
          <t>PO 방무적 3년필름</t>
        </is>
      </c>
      <c r="H17" s="6" t="n">
        <v>15000</v>
      </c>
      <c r="I17" s="6">
        <f>E17*H17</f>
        <v/>
      </c>
    </row>
    <row r="18" ht="24" customHeight="1">
      <c r="A18" s="7" t="n">
        <v>14</v>
      </c>
      <c r="B18" s="7" t="inlineStr">
        <is>
          <t>피복 및 외장</t>
        </is>
      </c>
      <c r="C18" s="8" t="inlineStr">
        <is>
          <t>비닐 고정용 사각 패드</t>
        </is>
      </c>
      <c r="D18" s="7" t="inlineStr">
        <is>
          <t>두께 0.8t / 폭 30 / 길이 3,000</t>
        </is>
      </c>
      <c r="E18" s="7" t="n">
        <v>16</v>
      </c>
      <c r="F18" s="7" t="inlineStr">
        <is>
          <t>EA</t>
        </is>
      </c>
      <c r="G18" s="7" t="inlineStr">
        <is>
          <t>알루미늄 프로파일</t>
        </is>
      </c>
      <c r="H18" s="9" t="n">
        <v>8000</v>
      </c>
      <c r="I18" s="9">
        <f>E18*H18</f>
        <v/>
      </c>
    </row>
    <row r="19" ht="24" customHeight="1">
      <c r="A19" s="4" t="n">
        <v>15</v>
      </c>
      <c r="B19" s="4" t="inlineStr">
        <is>
          <t>피복 및 외장</t>
        </is>
      </c>
      <c r="C19" s="5" t="inlineStr">
        <is>
          <t>패드 고정용 복원 스프링</t>
        </is>
      </c>
      <c r="D19" s="4" t="inlineStr">
        <is>
          <t>길이 2,000 (갈지자 형)</t>
        </is>
      </c>
      <c r="E19" s="4" t="n">
        <v>160</v>
      </c>
      <c r="F19" s="4" t="inlineStr">
        <is>
          <t>EA</t>
        </is>
      </c>
      <c r="G19" s="4" t="inlineStr">
        <is>
          <t>아연도금 스프링강</t>
        </is>
      </c>
      <c r="H19" s="6" t="n">
        <v>800</v>
      </c>
      <c r="I19" s="6">
        <f>E19*H19</f>
        <v/>
      </c>
    </row>
    <row r="20" ht="24" customHeight="1">
      <c r="A20" s="7" t="n">
        <v>16</v>
      </c>
      <c r="B20" s="7" t="inlineStr">
        <is>
          <t>피복 및 외장</t>
        </is>
      </c>
      <c r="C20" s="8" t="inlineStr">
        <is>
          <t>방충망 내장 수동 개폐기</t>
        </is>
      </c>
      <c r="D20" s="7" t="inlineStr">
        <is>
          <t>롤업 환기 핸들 세트</t>
        </is>
      </c>
      <c r="E20" s="7" t="n">
        <v>2</v>
      </c>
      <c r="F20" s="7" t="inlineStr">
        <is>
          <t>Set</t>
        </is>
      </c>
      <c r="G20" s="7" t="inlineStr">
        <is>
          <t>복합재료 및 기어</t>
        </is>
      </c>
      <c r="H20" s="9" t="n">
        <v>65000</v>
      </c>
      <c r="I20" s="9">
        <f>E20*H20</f>
        <v/>
      </c>
    </row>
    <row r="21" ht="24" customHeight="1">
      <c r="A21" s="4" t="n">
        <v>17</v>
      </c>
      <c r="B21" s="4" t="inlineStr">
        <is>
          <t>피복 및 외장</t>
        </is>
      </c>
      <c r="C21" s="5" t="inlineStr">
        <is>
          <t>이중 부틸 방수 테이프</t>
        </is>
      </c>
      <c r="D21" s="4" t="inlineStr">
        <is>
          <t>폭 50mm x 길이 15m</t>
        </is>
      </c>
      <c r="E21" s="4" t="n">
        <v>5</v>
      </c>
      <c r="F21" s="4" t="inlineStr">
        <is>
          <t>Roll</t>
        </is>
      </c>
      <c r="G21" s="4" t="inlineStr">
        <is>
          <t>부틸 고무</t>
        </is>
      </c>
      <c r="H21" s="6" t="n">
        <v>12000</v>
      </c>
      <c r="I21" s="6">
        <f>E21*H21</f>
        <v/>
      </c>
    </row>
    <row r="22" ht="28" customHeight="1">
      <c r="A22" s="10" t="inlineStr">
        <is>
          <t>총 자재 공급 합계 (Supply Total)</t>
        </is>
      </c>
      <c r="B22" s="11" t="n"/>
      <c r="C22" s="11" t="n"/>
      <c r="D22" s="11" t="n"/>
      <c r="E22" s="11" t="n"/>
      <c r="F22" s="11" t="n"/>
      <c r="G22" s="11" t="n"/>
      <c r="H22" s="11" t="inlineStr"/>
      <c r="I22" s="12">
        <f>SUM(I5:I21)</f>
        <v/>
      </c>
    </row>
    <row r="23" ht="24" customHeight="1">
      <c r="A23" s="13" t="inlineStr">
        <is>
          <t>부가가치세 (VAT 10%)</t>
        </is>
      </c>
      <c r="B23" s="14" t="n"/>
      <c r="C23" s="14" t="n"/>
      <c r="D23" s="14" t="n"/>
      <c r="E23" s="14" t="n"/>
      <c r="F23" s="14" t="n"/>
      <c r="G23" s="14" t="n"/>
      <c r="H23" s="14" t="n"/>
      <c r="I23" s="6">
        <f>I22*0.1</f>
        <v/>
      </c>
    </row>
    <row r="24" ht="28" customHeight="1">
      <c r="A24" s="15" t="inlineStr">
        <is>
          <t>총 구입 예산 합계 (Grand Total)</t>
        </is>
      </c>
      <c r="B24" s="11" t="n"/>
      <c r="C24" s="11" t="n"/>
      <c r="D24" s="11" t="n"/>
      <c r="E24" s="11" t="n"/>
      <c r="F24" s="11" t="n"/>
      <c r="G24" s="11" t="n"/>
      <c r="H24" s="11" t="n"/>
      <c r="I24" s="16">
        <f>I22+I23</f>
        <v/>
      </c>
    </row>
  </sheetData>
  <mergeCells count="5">
    <mergeCell ref="A2:I2"/>
    <mergeCell ref="A24:H24"/>
    <mergeCell ref="A22:G22"/>
    <mergeCell ref="A1:I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2026-05-29T18:45:57Z</dcterms:created>
  <dcterms:modified xsi:type="dcterms:W3CDTF">2026-05-29T18:45:57Z</dcterms:modified>
</cp:coreProperties>
</file>